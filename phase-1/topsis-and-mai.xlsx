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онцепции и оценки" sheetId="1" r:id="rId5"/>
    <sheet state="visible" name="Topsis" sheetId="2" r:id="rId6"/>
    <sheet state="visible" name="МАИ" sheetId="3" r:id="rId7"/>
    <sheet state="visible" name="Итоги" sheetId="4" r:id="rId8"/>
  </sheets>
  <definedNames/>
  <calcPr/>
</workbook>
</file>

<file path=xl/sharedStrings.xml><?xml version="1.0" encoding="utf-8"?>
<sst xmlns="http://schemas.openxmlformats.org/spreadsheetml/2006/main" count="594" uniqueCount="109">
  <si>
    <t>Фаза 1: Выбор концепции проекта</t>
  </si>
  <si>
    <t>Нечёткий коллективный Topsis</t>
  </si>
  <si>
    <t>Чёткий коллективный МАИ</t>
  </si>
  <si>
    <t>1. Альтернативы</t>
  </si>
  <si>
    <t>Попарные сравнения по шкале Саати (1–9) → агрегация AIJ (среднее геометрическое) → расчёт приоритетов → проверка согласованности (CR ≤ 0,1) → итоговый рейтинг.</t>
  </si>
  <si>
    <t>1. Агрегированные веса критериев (l=min, m =сред. знач, u = max)</t>
  </si>
  <si>
    <t>Код</t>
  </si>
  <si>
    <t>Критерий</t>
  </si>
  <si>
    <t>Фаза 1: Итоги выбора концепции</t>
  </si>
  <si>
    <t>Концепции</t>
  </si>
  <si>
    <t>l</t>
  </si>
  <si>
    <t>m</t>
  </si>
  <si>
    <t>u</t>
  </si>
  <si>
    <t>К1</t>
  </si>
  <si>
    <t>A1</t>
  </si>
  <si>
    <t>Система управления заявками на обслуживание</t>
  </si>
  <si>
    <t>1. Сравнение результатов двух методов</t>
  </si>
  <si>
    <t>A2</t>
  </si>
  <si>
    <t>Фитнес-приложение с геймификацией</t>
  </si>
  <si>
    <t>Система управления заявками на обслуживание (FixDesk)</t>
  </si>
  <si>
    <t>A3</t>
  </si>
  <si>
    <t>Сервис совместного выбора и просмотра фильмов</t>
  </si>
  <si>
    <t>A4</t>
  </si>
  <si>
    <t>CC TOPSIS</t>
  </si>
  <si>
    <t>Сервис персонализированных погодных рекомендаций</t>
  </si>
  <si>
    <t>Место TOPSIS</t>
  </si>
  <si>
    <t>Приоритет МАИ</t>
  </si>
  <si>
    <t>Место МАИ</t>
  </si>
  <si>
    <t>К2</t>
  </si>
  <si>
    <t>2. Критерии и оценка(п - пессимистичная, о - ожидаемая, опт - оптимистичность)</t>
  </si>
  <si>
    <t xml:space="preserve">Критерии </t>
  </si>
  <si>
    <t>Тип</t>
  </si>
  <si>
    <t>Бохолдин Д.Ю.</t>
  </si>
  <si>
    <t>2. Критерии</t>
  </si>
  <si>
    <t>Шульга Н.О.</t>
  </si>
  <si>
    <t>К3</t>
  </si>
  <si>
    <t>Ушаков Д.С.</t>
  </si>
  <si>
    <t>п</t>
  </si>
  <si>
    <t>о</t>
  </si>
  <si>
    <t>K1</t>
  </si>
  <si>
    <t>Масштабируемость</t>
  </si>
  <si>
    <t>опт</t>
  </si>
  <si>
    <t>выгода</t>
  </si>
  <si>
    <t>K2</t>
  </si>
  <si>
    <t>Трудоёмкость разработки MVP</t>
  </si>
  <si>
    <t>К4</t>
  </si>
  <si>
    <t>Трудоемкость разработки MVP</t>
  </si>
  <si>
    <t>K3</t>
  </si>
  <si>
    <t>Практическая полезность</t>
  </si>
  <si>
    <t>затраты</t>
  </si>
  <si>
    <t>Практическая полезность проекта</t>
  </si>
  <si>
    <t>K4</t>
  </si>
  <si>
    <t>Функциональная уникальность</t>
  </si>
  <si>
    <t xml:space="preserve">Функциональная уникальность </t>
  </si>
  <si>
    <t>Нормализированные веса критериев</t>
  </si>
  <si>
    <t>3. Групповая матрица сравнения критериев</t>
  </si>
  <si>
    <t>3. Оценка Альтернатив по критериям (1...10)</t>
  </si>
  <si>
    <t>Критерии</t>
  </si>
  <si>
    <t>Альтернативы</t>
  </si>
  <si>
    <t>w(l)</t>
  </si>
  <si>
    <t>w(m)</t>
  </si>
  <si>
    <t>w(u)</t>
  </si>
  <si>
    <t>Ср. геом.</t>
  </si>
  <si>
    <t>Приоритет</t>
  </si>
  <si>
    <t>Выгода</t>
  </si>
  <si>
    <t>Затраты</t>
  </si>
  <si>
    <t>2. Агрегированная нечёткая матрица решений</t>
  </si>
  <si>
    <t>Альтернатив</t>
  </si>
  <si>
    <t>А1</t>
  </si>
  <si>
    <t>Победитель TOPSIS</t>
  </si>
  <si>
    <t>Σ</t>
  </si>
  <si>
    <t>w</t>
  </si>
  <si>
    <t>Победитель МАИ</t>
  </si>
  <si>
    <t>λmax</t>
  </si>
  <si>
    <t>CI</t>
  </si>
  <si>
    <t>CR</t>
  </si>
  <si>
    <t>А2</t>
  </si>
  <si>
    <t>4. Групповая матрица A1–A4 по K1 (масштабируемость)</t>
  </si>
  <si>
    <t>А3</t>
  </si>
  <si>
    <t>А4</t>
  </si>
  <si>
    <t>5. Групповая матрица A1–A4 по K2 (трудоёмкость MVP)</t>
  </si>
  <si>
    <t>3. Нормализированная матрицы решений</t>
  </si>
  <si>
    <t>6. Групповая матрица A1–A4 по K3 (практическая полезность)</t>
  </si>
  <si>
    <t>4. Взвешанная нормализированная матрица решений</t>
  </si>
  <si>
    <t>FPIS(A+)</t>
  </si>
  <si>
    <t>FNIS(A-)</t>
  </si>
  <si>
    <t>5. Расстояние до идеальных решений и коэффициент близости</t>
  </si>
  <si>
    <t>d+(K1)</t>
  </si>
  <si>
    <t>d+(K2)</t>
  </si>
  <si>
    <t>d+(K3)</t>
  </si>
  <si>
    <t>d+(K4)</t>
  </si>
  <si>
    <t>D+</t>
  </si>
  <si>
    <t>d-(K1)</t>
  </si>
  <si>
    <t>d-(K2)</t>
  </si>
  <si>
    <t>d-(K3)</t>
  </si>
  <si>
    <t>d-(K4)</t>
  </si>
  <si>
    <t>D-</t>
  </si>
  <si>
    <t>CC</t>
  </si>
  <si>
    <t>Ранг</t>
  </si>
  <si>
    <t>7. Групповая матрица A1–A4 по K4 (уникальность)</t>
  </si>
  <si>
    <t>8. Итоговые приоритеты альтернатив</t>
  </si>
  <si>
    <t>Место</t>
  </si>
  <si>
    <t>Вес критерия</t>
  </si>
  <si>
    <t>Победитель</t>
  </si>
  <si>
    <t>9. Матрицы экспертов</t>
  </si>
  <si>
    <t>Альтернативы по K1</t>
  </si>
  <si>
    <t>Альтернативы по K2</t>
  </si>
  <si>
    <t>Альтернативы по K3</t>
  </si>
  <si>
    <t>Альтернативы по K4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</si>
</sst>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"/>
  </numFmts>
  <fonts count="13">
    <font>
      <sz val="11.0"/>
      <color theme="1"/>
      <name val="Arial"/>
      <scheme val="minor"/>
    </font>
    <font>
      <b/>
      <sz val="14.0"/>
      <color theme="1"/>
      <name val="Times New Roman"/>
    </font>
    <font>
      <sz val="14.0"/>
      <color theme="1"/>
      <name val="Times New Roman"/>
    </font>
    <font>
      <sz val="11.0"/>
      <color theme="1"/>
      <name val="Calibri"/>
    </font>
    <font>
      <sz val="11.0"/>
      <color theme="1"/>
      <name val="Times New Roman"/>
    </font>
    <font>
      <i/>
      <sz val="10.0"/>
      <color theme="1"/>
      <name val="Times New Roman"/>
    </font>
    <font>
      <sz val="14.0"/>
      <color theme="1"/>
      <name val="Calibri"/>
    </font>
    <font>
      <b/>
      <sz val="12.0"/>
      <color theme="1"/>
      <name val="Times New Roman"/>
    </font>
    <font>
      <b/>
      <sz val="16.0"/>
      <color theme="1"/>
      <name val="Times New Roman"/>
    </font>
    <font/>
    <font>
      <b/>
      <sz val="11.0"/>
      <color theme="1"/>
      <name val="Times New Roman"/>
    </font>
    <font>
      <sz val="14.0"/>
      <color theme="1"/>
      <name val="Arial"/>
      <scheme val="minor"/>
    </font>
    <font>
      <sz val="14.0"/>
      <color rgb="FF0F1115"/>
      <name val="Times New Roman"/>
    </font>
  </fonts>
  <fills count="10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B1CBEF"/>
        <bgColor rgb="FFB1CBEF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4F7FB"/>
        <bgColor rgb="FFF4F7FB"/>
      </patternFill>
    </fill>
    <fill>
      <patternFill patternType="solid">
        <fgColor rgb="FF93C47D"/>
        <bgColor rgb="FF93C47D"/>
      </patternFill>
    </fill>
    <fill>
      <patternFill patternType="solid">
        <fgColor theme="6"/>
        <bgColor theme="6"/>
      </patternFill>
    </fill>
    <fill>
      <patternFill patternType="solid">
        <fgColor rgb="FFEAF2FE"/>
        <bgColor rgb="FFEAF2FE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444444"/>
      </left>
      <right style="thin">
        <color rgb="FF444444"/>
      </right>
      <top style="thin">
        <color rgb="FF444444"/>
      </top>
      <bottom style="thin">
        <color rgb="FF444444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44444"/>
      </left>
      <top style="thin">
        <color rgb="FF444444"/>
      </top>
      <bottom style="thin">
        <color rgb="FF444444"/>
      </bottom>
    </border>
    <border>
      <top style="thin">
        <color rgb="FF444444"/>
      </top>
      <bottom style="thin">
        <color rgb="FF444444"/>
      </bottom>
    </border>
    <border>
      <right style="thin">
        <color rgb="FF444444"/>
      </right>
      <top style="thin">
        <color rgb="FF444444"/>
      </top>
      <bottom style="thin">
        <color rgb="FF444444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readingOrder="0" vertical="center"/>
    </xf>
    <xf borderId="0" fillId="0" fontId="3" numFmtId="0" xfId="0" applyFont="1"/>
    <xf borderId="0" fillId="0" fontId="4" numFmtId="0" xfId="0" applyAlignment="1" applyFont="1">
      <alignment vertical="center"/>
    </xf>
    <xf borderId="0" fillId="0" fontId="5" numFmtId="0" xfId="0" applyAlignment="1" applyFont="1">
      <alignment readingOrder="0" vertical="center"/>
    </xf>
    <xf borderId="1" fillId="2" fontId="2" numFmtId="0" xfId="0" applyBorder="1" applyFill="1" applyFont="1"/>
    <xf borderId="1" fillId="2" fontId="6" numFmtId="0" xfId="0" applyBorder="1" applyFill="1" applyFont="1"/>
    <xf borderId="0" fillId="0" fontId="7" numFmtId="0" xfId="0" applyAlignment="1" applyFont="1">
      <alignment vertical="center"/>
    </xf>
    <xf borderId="0" fillId="0" fontId="8" numFmtId="0" xfId="0" applyAlignment="1" applyFont="1">
      <alignment readingOrder="0"/>
    </xf>
    <xf borderId="2" fillId="2" fontId="2" numFmtId="0" xfId="0" applyAlignment="1" applyBorder="1" applyFill="1" applyFont="1">
      <alignment horizontal="center"/>
    </xf>
    <xf borderId="3" fillId="0" fontId="9" numFmtId="0" xfId="0" applyBorder="1" applyFont="1"/>
    <xf borderId="1" fillId="0" fontId="6" numFmtId="0" xfId="0" applyBorder="1" applyFont="1"/>
    <xf borderId="4" fillId="3" fontId="10" numFmtId="0" xfId="0" applyAlignment="1" applyBorder="1" applyFill="1" applyFont="1">
      <alignment vertical="center"/>
    </xf>
    <xf borderId="0" fillId="0" fontId="11" numFmtId="0" xfId="0" applyFont="1"/>
    <xf borderId="5" fillId="0" fontId="9" numFmtId="0" xfId="0" applyBorder="1" applyFont="1"/>
    <xf borderId="6" fillId="3" fontId="10" numFmtId="0" xfId="0" applyAlignment="1" applyBorder="1" applyFill="1" applyFont="1">
      <alignment vertical="center"/>
    </xf>
    <xf borderId="1" fillId="0" fontId="2" numFmtId="0" xfId="0" applyBorder="1" applyFont="1"/>
    <xf borderId="7" fillId="0" fontId="9" numFmtId="0" xfId="0" applyBorder="1" applyFont="1"/>
    <xf borderId="8" fillId="0" fontId="9" numFmtId="0" xfId="0" applyBorder="1" applyFont="1"/>
    <xf borderId="2" fillId="0" fontId="2" numFmtId="0" xfId="0" applyAlignment="1" applyBorder="1" applyFont="1">
      <alignment horizontal="center" readingOrder="0"/>
    </xf>
    <xf borderId="0" fillId="0" fontId="8" numFmtId="0" xfId="0" applyAlignment="1" applyFont="1">
      <alignment readingOrder="0" vertical="center"/>
    </xf>
    <xf borderId="4" fillId="0" fontId="4" numFmtId="0" xfId="0" applyAlignment="1" applyBorder="1" applyFont="1">
      <alignment vertical="center"/>
    </xf>
    <xf borderId="2" fillId="4" fontId="12" numFmtId="0" xfId="0" applyAlignment="1" applyBorder="1" applyFill="1" applyFont="1">
      <alignment horizontal="center" readingOrder="0" vertical="center"/>
    </xf>
    <xf borderId="6" fillId="0" fontId="4" numFmtId="0" xfId="0" applyAlignment="1" applyBorder="1" applyFont="1">
      <alignment vertical="center"/>
    </xf>
    <xf borderId="1" fillId="3" fontId="1" numFmtId="0" xfId="0" applyAlignment="1" applyBorder="1" applyFill="1" applyFont="1">
      <alignment vertical="center"/>
    </xf>
    <xf borderId="1" fillId="0" fontId="6" numFmtId="164" xfId="0" applyAlignment="1" applyBorder="1" applyFont="1" applyNumberFormat="1">
      <alignment horizontal="right"/>
    </xf>
    <xf borderId="2" fillId="0" fontId="2" numFmtId="0" xfId="0" applyAlignment="1" applyBorder="1" applyFont="1">
      <alignment horizontal="center" readingOrder="0" shrinkToFit="0" wrapText="1"/>
    </xf>
    <xf borderId="2" fillId="3" fontId="1" numFmtId="0" xfId="0" applyAlignment="1" applyBorder="1" applyFill="1" applyFont="1">
      <alignment vertical="center"/>
    </xf>
    <xf borderId="1" fillId="3" fontId="1" numFmtId="0" xfId="0" applyAlignment="1" applyBorder="1" applyFill="1" applyFont="1">
      <alignment readingOrder="0" vertical="center"/>
    </xf>
    <xf borderId="1" fillId="3" fontId="1" numFmtId="0" xfId="0" applyAlignment="1" applyBorder="1" applyFill="1" applyFont="1">
      <alignment readingOrder="0"/>
    </xf>
    <xf borderId="1" fillId="0" fontId="2" numFmtId="0" xfId="0" applyAlignment="1" applyBorder="1" applyFont="1">
      <alignment vertical="center"/>
    </xf>
    <xf borderId="9" fillId="2" fontId="2" numFmtId="0" xfId="0" applyAlignment="1" applyBorder="1" applyFill="1" applyFont="1">
      <alignment horizontal="center" vertical="center"/>
    </xf>
    <xf borderId="10" fillId="2" fontId="2" numFmtId="0" xfId="0" applyAlignment="1" applyBorder="1" applyFill="1" applyFont="1">
      <alignment horizontal="center" vertical="center"/>
    </xf>
    <xf borderId="11" fillId="0" fontId="9" numFmtId="0" xfId="0" applyBorder="1" applyFont="1"/>
    <xf borderId="12" fillId="0" fontId="9" numFmtId="0" xfId="0" applyBorder="1" applyFont="1"/>
    <xf borderId="2" fillId="0" fontId="2" numFmtId="0" xfId="0" applyAlignment="1" applyBorder="1" applyFont="1">
      <alignment vertical="center"/>
    </xf>
    <xf borderId="9" fillId="2" fontId="2" numFmtId="0" xfId="0" applyAlignment="1" applyBorder="1" applyFill="1" applyFont="1">
      <alignment horizontal="center" readingOrder="0" vertical="center"/>
    </xf>
    <xf borderId="2" fillId="2" fontId="2" numFmtId="0" xfId="0" applyAlignment="1" applyBorder="1" applyFill="1" applyFont="1">
      <alignment horizontal="center" readingOrder="0"/>
    </xf>
    <xf borderId="13" fillId="0" fontId="9" numFmtId="0" xfId="0" applyBorder="1" applyFont="1"/>
    <xf borderId="14" fillId="0" fontId="9" numFmtId="0" xfId="0" applyBorder="1" applyFont="1"/>
    <xf borderId="15" fillId="0" fontId="9" numFmtId="0" xfId="0" applyBorder="1" applyFont="1"/>
    <xf borderId="16" fillId="0" fontId="9" numFmtId="0" xfId="0" applyBorder="1" applyFont="1"/>
    <xf borderId="1" fillId="2" fontId="2" numFmtId="0" xfId="0" applyAlignment="1" applyBorder="1" applyFill="1" applyFont="1">
      <alignment horizontal="center" readingOrder="0"/>
    </xf>
    <xf borderId="1" fillId="2" fontId="2" numFmtId="0" xfId="0" applyAlignment="1" applyBorder="1" applyFill="1" applyFont="1">
      <alignment horizontal="center"/>
    </xf>
    <xf borderId="1" fillId="0" fontId="2" numFmtId="164" xfId="0" applyAlignment="1" applyBorder="1" applyFont="1" applyNumberFormat="1">
      <alignment vertical="center"/>
    </xf>
    <xf borderId="1" fillId="0" fontId="2" numFmtId="0" xfId="0" applyAlignment="1" applyBorder="1" applyFont="1">
      <alignment horizontal="center" readingOrder="0"/>
    </xf>
    <xf borderId="1" fillId="0" fontId="2" numFmtId="165" xfId="0" applyBorder="1" applyFont="1" applyNumberFormat="1"/>
    <xf borderId="1" fillId="0" fontId="2" numFmtId="0" xfId="0" applyBorder="1" applyFont="1"/>
    <xf borderId="0" fillId="0" fontId="1" numFmtId="0" xfId="0" applyFont="1"/>
    <xf borderId="1" fillId="2" fontId="2" numFmtId="0" xfId="0" applyBorder="1" applyFill="1" applyFont="1"/>
    <xf borderId="4" fillId="3" fontId="10" numFmtId="0" xfId="0" applyAlignment="1" applyBorder="1" applyFill="1" applyFont="1">
      <alignment horizontal="center" vertical="center"/>
    </xf>
    <xf borderId="1" fillId="2" fontId="2" numFmtId="0" xfId="0" applyAlignment="1" applyBorder="1" applyFill="1" applyFont="1">
      <alignment horizontal="center"/>
    </xf>
    <xf borderId="4" fillId="0" fontId="4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4" fillId="0" fontId="4" numFmtId="164" xfId="0" applyAlignment="1" applyBorder="1" applyFont="1" applyNumberFormat="1">
      <alignment horizontal="center" vertical="center"/>
    </xf>
    <xf borderId="1" fillId="0" fontId="2" numFmtId="164" xfId="0" applyAlignment="1" applyBorder="1" applyFont="1" applyNumberFormat="1">
      <alignment horizontal="right"/>
    </xf>
    <xf borderId="1" fillId="0" fontId="6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5" fontId="2" numFmtId="0" xfId="0" applyAlignment="1" applyBorder="1" applyFill="1" applyFont="1">
      <alignment vertical="center"/>
    </xf>
    <xf borderId="2" fillId="5" fontId="2" numFmtId="0" xfId="0" applyAlignment="1" applyBorder="1" applyFill="1" applyFont="1">
      <alignment horizontal="center" vertical="center"/>
    </xf>
    <xf borderId="1" fillId="5" fontId="2" numFmtId="0" xfId="0" applyAlignment="1" applyBorder="1" applyFill="1" applyFont="1">
      <alignment horizontal="center" readingOrder="0"/>
    </xf>
    <xf borderId="9" fillId="2" fontId="2" numFmtId="0" xfId="0" applyAlignment="1" applyBorder="1" applyFill="1" applyFont="1">
      <alignment horizontal="center" vertical="center"/>
    </xf>
    <xf borderId="2" fillId="2" fontId="2" numFmtId="0" xfId="0" applyAlignment="1" applyBorder="1" applyFill="1" applyFont="1">
      <alignment horizontal="center"/>
    </xf>
    <xf borderId="2" fillId="6" fontId="2" numFmtId="0" xfId="0" applyAlignment="1" applyBorder="1" applyFill="1" applyFont="1">
      <alignment readingOrder="0"/>
    </xf>
    <xf borderId="4" fillId="6" fontId="4" numFmtId="0" xfId="0" applyAlignment="1" applyBorder="1" applyFill="1" applyFont="1">
      <alignment horizontal="center" vertical="center"/>
    </xf>
    <xf borderId="4" fillId="6" fontId="4" numFmtId="164" xfId="0" applyAlignment="1" applyBorder="1" applyFill="1" applyFont="1" applyNumberFormat="1">
      <alignment horizontal="center" vertical="center"/>
    </xf>
    <xf borderId="2" fillId="7" fontId="2" numFmtId="0" xfId="0" applyBorder="1" applyFill="1" applyFont="1"/>
    <xf borderId="1" fillId="8" fontId="2" numFmtId="0" xfId="0" applyAlignment="1" applyBorder="1" applyFill="1" applyFont="1">
      <alignment horizontal="right"/>
    </xf>
    <xf borderId="4" fillId="6" fontId="4" numFmtId="0" xfId="0" applyAlignment="1" applyBorder="1" applyFill="1" applyFont="1">
      <alignment vertical="center"/>
    </xf>
    <xf borderId="4" fillId="6" fontId="4" numFmtId="165" xfId="0" applyAlignment="1" applyBorder="1" applyFill="1" applyFont="1" applyNumberFormat="1">
      <alignment vertical="center"/>
    </xf>
    <xf borderId="4" fillId="0" fontId="4" numFmtId="165" xfId="0" applyAlignment="1" applyBorder="1" applyFont="1" applyNumberFormat="1">
      <alignment vertical="center"/>
    </xf>
    <xf borderId="0" fillId="0" fontId="7" numFmtId="0" xfId="0" applyAlignment="1" applyFont="1">
      <alignment readingOrder="0" vertical="center"/>
    </xf>
    <xf borderId="4" fillId="9" fontId="4" numFmtId="164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6" width="7.63"/>
    <col customWidth="1" min="7" max="7" width="10.0"/>
    <col customWidth="1" min="8" max="8" width="8.13"/>
    <col customWidth="1" min="9" max="26" width="7.63"/>
  </cols>
  <sheetData>
    <row r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>
      <c r="A3" s="1" t="s">
        <v>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>
      <c r="A4" s="8" t="s">
        <v>6</v>
      </c>
      <c r="B4" s="12" t="s">
        <v>9</v>
      </c>
      <c r="C4" s="13"/>
      <c r="D4" s="13"/>
      <c r="E4" s="13"/>
      <c r="F4" s="13"/>
      <c r="G4" s="17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>
      <c r="A5" s="19" t="s">
        <v>14</v>
      </c>
      <c r="B5" s="22" t="s">
        <v>15</v>
      </c>
      <c r="C5" s="13"/>
      <c r="D5" s="13"/>
      <c r="E5" s="13"/>
      <c r="F5" s="13"/>
      <c r="G5" s="17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t="33.0" customHeight="1">
      <c r="A6" s="19" t="s">
        <v>17</v>
      </c>
      <c r="B6" s="25" t="s">
        <v>18</v>
      </c>
      <c r="C6" s="13"/>
      <c r="D6" s="13"/>
      <c r="E6" s="13"/>
      <c r="F6" s="13"/>
      <c r="G6" s="17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ht="36.75" customHeight="1">
      <c r="A7" s="19" t="s">
        <v>20</v>
      </c>
      <c r="B7" s="29" t="s">
        <v>21</v>
      </c>
      <c r="C7" s="13"/>
      <c r="D7" s="13"/>
      <c r="E7" s="13"/>
      <c r="F7" s="13"/>
      <c r="G7" s="17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ht="42.75" customHeight="1">
      <c r="A8" s="19" t="s">
        <v>22</v>
      </c>
      <c r="B8" s="29" t="s">
        <v>24</v>
      </c>
      <c r="C8" s="13"/>
      <c r="D8" s="13"/>
      <c r="E8" s="13"/>
      <c r="F8" s="13"/>
      <c r="G8" s="17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>
      <c r="A11" s="1" t="s">
        <v>29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>
      <c r="A12" s="34" t="s">
        <v>6</v>
      </c>
      <c r="B12" s="35" t="s">
        <v>30</v>
      </c>
      <c r="C12" s="36"/>
      <c r="D12" s="36"/>
      <c r="E12" s="36"/>
      <c r="F12" s="36"/>
      <c r="G12" s="37"/>
      <c r="H12" s="39" t="s">
        <v>31</v>
      </c>
      <c r="I12" s="12" t="s">
        <v>32</v>
      </c>
      <c r="J12" s="13"/>
      <c r="K12" s="17"/>
      <c r="L12" s="40" t="s">
        <v>34</v>
      </c>
      <c r="M12" s="13"/>
      <c r="N12" s="17"/>
      <c r="O12" s="40" t="s">
        <v>36</v>
      </c>
      <c r="P12" s="13"/>
      <c r="Q12" s="17"/>
      <c r="R12" s="3"/>
      <c r="S12" s="3"/>
      <c r="T12" s="3"/>
      <c r="U12" s="3"/>
      <c r="V12" s="3"/>
    </row>
    <row r="13">
      <c r="A13" s="41"/>
      <c r="B13" s="42"/>
      <c r="C13" s="43"/>
      <c r="D13" s="43"/>
      <c r="E13" s="43"/>
      <c r="F13" s="43"/>
      <c r="G13" s="44"/>
      <c r="H13" s="41"/>
      <c r="I13" s="45" t="s">
        <v>37</v>
      </c>
      <c r="J13" s="46" t="s">
        <v>38</v>
      </c>
      <c r="K13" s="46" t="s">
        <v>41</v>
      </c>
      <c r="L13" s="46" t="s">
        <v>37</v>
      </c>
      <c r="M13" s="46" t="s">
        <v>38</v>
      </c>
      <c r="N13" s="46" t="s">
        <v>41</v>
      </c>
      <c r="O13" s="46" t="s">
        <v>37</v>
      </c>
      <c r="P13" s="46" t="s">
        <v>38</v>
      </c>
      <c r="Q13" s="46" t="s">
        <v>41</v>
      </c>
      <c r="R13" s="3"/>
      <c r="S13" s="3"/>
      <c r="T13" s="3"/>
      <c r="U13" s="3"/>
      <c r="V13" s="3"/>
    </row>
    <row r="14">
      <c r="A14" s="19" t="s">
        <v>13</v>
      </c>
      <c r="B14" s="22" t="s">
        <v>40</v>
      </c>
      <c r="C14" s="13"/>
      <c r="D14" s="13"/>
      <c r="E14" s="13"/>
      <c r="F14" s="13"/>
      <c r="G14" s="17"/>
      <c r="H14" s="48" t="s">
        <v>42</v>
      </c>
      <c r="I14" s="48">
        <v>4.0</v>
      </c>
      <c r="J14" s="48">
        <v>6.0</v>
      </c>
      <c r="K14" s="48">
        <v>9.0</v>
      </c>
      <c r="L14" s="48">
        <v>5.0</v>
      </c>
      <c r="M14" s="48">
        <v>6.0</v>
      </c>
      <c r="N14" s="48">
        <v>8.0</v>
      </c>
      <c r="O14" s="48">
        <v>6.0</v>
      </c>
      <c r="P14" s="48">
        <v>7.0</v>
      </c>
      <c r="Q14" s="48">
        <v>8.0</v>
      </c>
      <c r="R14" s="3"/>
      <c r="S14" s="3"/>
      <c r="T14" s="3"/>
      <c r="U14" s="3"/>
      <c r="V14" s="3"/>
    </row>
    <row r="15">
      <c r="A15" s="19" t="s">
        <v>28</v>
      </c>
      <c r="B15" s="22" t="s">
        <v>46</v>
      </c>
      <c r="C15" s="13"/>
      <c r="D15" s="13"/>
      <c r="E15" s="13"/>
      <c r="F15" s="13"/>
      <c r="G15" s="17"/>
      <c r="H15" s="48" t="s">
        <v>49</v>
      </c>
      <c r="I15" s="48">
        <v>4.0</v>
      </c>
      <c r="J15" s="48">
        <v>7.0</v>
      </c>
      <c r="K15" s="48">
        <v>10.0</v>
      </c>
      <c r="L15" s="48">
        <v>7.0</v>
      </c>
      <c r="M15" s="48">
        <v>9.0</v>
      </c>
      <c r="N15" s="48">
        <v>10.0</v>
      </c>
      <c r="O15" s="48">
        <v>7.0</v>
      </c>
      <c r="P15" s="48">
        <v>8.0</v>
      </c>
      <c r="Q15" s="48">
        <v>8.0</v>
      </c>
      <c r="R15" s="3"/>
      <c r="S15" s="3"/>
      <c r="T15" s="3"/>
      <c r="U15" s="3"/>
      <c r="V15" s="3"/>
    </row>
    <row r="16">
      <c r="A16" s="19" t="s">
        <v>35</v>
      </c>
      <c r="B16" s="22" t="s">
        <v>50</v>
      </c>
      <c r="C16" s="13"/>
      <c r="D16" s="13"/>
      <c r="E16" s="13"/>
      <c r="F16" s="13"/>
      <c r="G16" s="17"/>
      <c r="H16" s="48" t="s">
        <v>42</v>
      </c>
      <c r="I16" s="48">
        <v>5.0</v>
      </c>
      <c r="J16" s="48">
        <v>7.0</v>
      </c>
      <c r="K16" s="48">
        <v>9.0</v>
      </c>
      <c r="L16" s="48">
        <v>7.0</v>
      </c>
      <c r="M16" s="48">
        <v>8.0</v>
      </c>
      <c r="N16" s="48">
        <v>10.0</v>
      </c>
      <c r="O16" s="48">
        <v>7.0</v>
      </c>
      <c r="P16" s="48">
        <v>8.0</v>
      </c>
      <c r="Q16" s="48">
        <v>10.0</v>
      </c>
      <c r="R16" s="3"/>
      <c r="S16" s="3"/>
      <c r="T16" s="3"/>
      <c r="U16" s="3"/>
      <c r="V16" s="3"/>
    </row>
    <row r="17">
      <c r="A17" s="19" t="s">
        <v>45</v>
      </c>
      <c r="B17" s="22" t="s">
        <v>53</v>
      </c>
      <c r="C17" s="13"/>
      <c r="D17" s="13"/>
      <c r="E17" s="13"/>
      <c r="F17" s="13"/>
      <c r="G17" s="17"/>
      <c r="H17" s="48" t="s">
        <v>42</v>
      </c>
      <c r="I17" s="48">
        <v>3.0</v>
      </c>
      <c r="J17" s="48">
        <v>7.0</v>
      </c>
      <c r="K17" s="48">
        <v>7.0</v>
      </c>
      <c r="L17" s="48">
        <v>4.0</v>
      </c>
      <c r="M17" s="48">
        <v>6.0</v>
      </c>
      <c r="N17" s="48">
        <v>7.0</v>
      </c>
      <c r="O17" s="48">
        <v>5.0</v>
      </c>
      <c r="P17" s="48">
        <v>6.0</v>
      </c>
      <c r="Q17" s="48">
        <v>7.0</v>
      </c>
      <c r="R17" s="3"/>
      <c r="S17" s="3"/>
      <c r="T17" s="3"/>
      <c r="U17" s="3"/>
      <c r="V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>
      <c r="A19" s="1" t="s">
        <v>56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>
      <c r="A20" s="34" t="s">
        <v>57</v>
      </c>
      <c r="B20" s="35" t="s">
        <v>58</v>
      </c>
      <c r="C20" s="37"/>
      <c r="D20" s="12" t="s">
        <v>32</v>
      </c>
      <c r="E20" s="13"/>
      <c r="F20" s="17"/>
      <c r="G20" s="40" t="s">
        <v>34</v>
      </c>
      <c r="H20" s="13"/>
      <c r="I20" s="17"/>
      <c r="J20" s="40" t="s">
        <v>36</v>
      </c>
      <c r="K20" s="13"/>
      <c r="L20" s="17"/>
      <c r="M20" s="3"/>
      <c r="N20" s="3"/>
      <c r="O20" s="3"/>
      <c r="P20" s="3"/>
      <c r="Q20" s="3"/>
      <c r="R20" s="3"/>
      <c r="S20" s="3"/>
      <c r="T20" s="3"/>
      <c r="U20" s="3"/>
    </row>
    <row r="21" ht="15.75" customHeight="1">
      <c r="A21" s="41"/>
      <c r="B21" s="42"/>
      <c r="C21" s="44"/>
      <c r="D21" s="46" t="s">
        <v>37</v>
      </c>
      <c r="E21" s="46" t="s">
        <v>38</v>
      </c>
      <c r="F21" s="46" t="s">
        <v>41</v>
      </c>
      <c r="G21" s="46" t="s">
        <v>37</v>
      </c>
      <c r="H21" s="46" t="s">
        <v>38</v>
      </c>
      <c r="I21" s="46" t="s">
        <v>41</v>
      </c>
      <c r="J21" s="46" t="s">
        <v>37</v>
      </c>
      <c r="K21" s="46" t="s">
        <v>38</v>
      </c>
      <c r="L21" s="46" t="s">
        <v>41</v>
      </c>
      <c r="M21" s="3"/>
      <c r="N21" s="3"/>
      <c r="O21" s="3"/>
      <c r="P21" s="3"/>
      <c r="Q21" s="3"/>
      <c r="R21" s="3"/>
      <c r="S21" s="3"/>
      <c r="T21" s="3"/>
      <c r="U21" s="3"/>
    </row>
    <row r="22" ht="15.75" customHeight="1">
      <c r="A22" s="33" t="s">
        <v>13</v>
      </c>
      <c r="B22" s="56" t="s">
        <v>14</v>
      </c>
      <c r="C22" s="17"/>
      <c r="D22" s="48">
        <v>6.0</v>
      </c>
      <c r="E22" s="48">
        <v>7.0</v>
      </c>
      <c r="F22" s="48">
        <v>10.0</v>
      </c>
      <c r="G22" s="48">
        <v>7.0</v>
      </c>
      <c r="H22" s="48">
        <v>8.0</v>
      </c>
      <c r="I22" s="48">
        <v>9.0</v>
      </c>
      <c r="J22" s="48">
        <v>7.0</v>
      </c>
      <c r="K22" s="48">
        <v>8.0</v>
      </c>
      <c r="L22" s="48">
        <v>9.0</v>
      </c>
      <c r="M22" s="3"/>
      <c r="N22" s="3"/>
      <c r="O22" s="3"/>
      <c r="P22" s="3"/>
      <c r="Q22" s="3"/>
      <c r="R22" s="3"/>
      <c r="S22" s="3"/>
      <c r="T22" s="3"/>
      <c r="U22" s="3"/>
    </row>
    <row r="23" ht="15.75" customHeight="1">
      <c r="A23" s="33" t="s">
        <v>39</v>
      </c>
      <c r="B23" s="56" t="s">
        <v>17</v>
      </c>
      <c r="C23" s="17"/>
      <c r="D23" s="48">
        <v>2.0</v>
      </c>
      <c r="E23" s="48">
        <v>4.0</v>
      </c>
      <c r="F23" s="48">
        <v>6.0</v>
      </c>
      <c r="G23" s="48">
        <v>6.0</v>
      </c>
      <c r="H23" s="48">
        <v>8.0</v>
      </c>
      <c r="I23" s="48">
        <v>9.0</v>
      </c>
      <c r="J23" s="48">
        <v>6.0</v>
      </c>
      <c r="K23" s="48">
        <v>7.0</v>
      </c>
      <c r="L23" s="48">
        <v>8.0</v>
      </c>
      <c r="M23" s="3"/>
      <c r="N23" s="3"/>
      <c r="O23" s="3"/>
      <c r="P23" s="3"/>
      <c r="Q23" s="3"/>
      <c r="R23" s="3"/>
      <c r="S23" s="3"/>
      <c r="T23" s="3"/>
      <c r="U23" s="3"/>
    </row>
    <row r="24" ht="15.75" customHeight="1">
      <c r="A24" s="33" t="s">
        <v>39</v>
      </c>
      <c r="B24" s="56" t="s">
        <v>20</v>
      </c>
      <c r="C24" s="17"/>
      <c r="D24" s="48">
        <v>2.0</v>
      </c>
      <c r="E24" s="48">
        <v>5.0</v>
      </c>
      <c r="F24" s="48">
        <v>6.0</v>
      </c>
      <c r="G24" s="48">
        <v>3.0</v>
      </c>
      <c r="H24" s="48">
        <v>5.0</v>
      </c>
      <c r="I24" s="48">
        <v>7.0</v>
      </c>
      <c r="J24" s="48">
        <v>4.0</v>
      </c>
      <c r="K24" s="48">
        <v>5.0</v>
      </c>
      <c r="L24" s="48">
        <v>7.0</v>
      </c>
      <c r="M24" s="3"/>
      <c r="N24" s="3"/>
      <c r="O24" s="3"/>
      <c r="P24" s="3"/>
      <c r="Q24" s="3"/>
      <c r="R24" s="3"/>
      <c r="S24" s="3"/>
      <c r="T24" s="3"/>
      <c r="U24" s="3"/>
    </row>
    <row r="25" ht="15.75" customHeight="1">
      <c r="A25" s="33" t="s">
        <v>39</v>
      </c>
      <c r="B25" s="56" t="s">
        <v>22</v>
      </c>
      <c r="C25" s="17"/>
      <c r="D25" s="48">
        <v>5.0</v>
      </c>
      <c r="E25" s="48">
        <v>7.0</v>
      </c>
      <c r="F25" s="48">
        <v>9.0</v>
      </c>
      <c r="G25" s="48">
        <v>5.0</v>
      </c>
      <c r="H25" s="48">
        <v>7.0</v>
      </c>
      <c r="I25" s="48">
        <v>8.0</v>
      </c>
      <c r="J25" s="59">
        <v>5.0</v>
      </c>
      <c r="K25" s="48">
        <v>6.0</v>
      </c>
      <c r="L25" s="60">
        <v>7.0</v>
      </c>
    </row>
    <row r="26" ht="15.75" customHeight="1">
      <c r="A26" s="61" t="s">
        <v>28</v>
      </c>
      <c r="B26" s="62" t="s">
        <v>14</v>
      </c>
      <c r="C26" s="17"/>
      <c r="D26" s="63">
        <v>6.0</v>
      </c>
      <c r="E26" s="63">
        <v>7.0</v>
      </c>
      <c r="F26" s="63">
        <v>9.0</v>
      </c>
      <c r="G26" s="63">
        <v>3.0</v>
      </c>
      <c r="H26" s="63">
        <v>5.0</v>
      </c>
      <c r="I26" s="63">
        <v>7.0</v>
      </c>
      <c r="J26" s="63">
        <v>7.0</v>
      </c>
      <c r="K26" s="63">
        <v>8.0</v>
      </c>
      <c r="L26" s="63">
        <v>9.0</v>
      </c>
    </row>
    <row r="27" ht="15.75" customHeight="1">
      <c r="A27" s="61" t="s">
        <v>28</v>
      </c>
      <c r="B27" s="62" t="s">
        <v>17</v>
      </c>
      <c r="C27" s="17"/>
      <c r="D27" s="63">
        <v>2.0</v>
      </c>
      <c r="E27" s="63">
        <v>4.0</v>
      </c>
      <c r="F27" s="63">
        <v>6.0</v>
      </c>
      <c r="G27" s="63">
        <v>5.0</v>
      </c>
      <c r="H27" s="63">
        <v>7.0</v>
      </c>
      <c r="I27" s="63">
        <v>9.0</v>
      </c>
      <c r="J27" s="63">
        <v>5.0</v>
      </c>
      <c r="K27" s="63">
        <v>6.0</v>
      </c>
      <c r="L27" s="63">
        <v>7.0</v>
      </c>
    </row>
    <row r="28" ht="15.75" customHeight="1">
      <c r="A28" s="61" t="s">
        <v>28</v>
      </c>
      <c r="B28" s="62" t="s">
        <v>20</v>
      </c>
      <c r="C28" s="17"/>
      <c r="D28" s="63">
        <v>4.0</v>
      </c>
      <c r="E28" s="63">
        <v>6.0</v>
      </c>
      <c r="F28" s="63">
        <v>8.0</v>
      </c>
      <c r="G28" s="63">
        <v>7.0</v>
      </c>
      <c r="H28" s="63">
        <v>9.0</v>
      </c>
      <c r="I28" s="63">
        <v>10.0</v>
      </c>
      <c r="J28" s="63">
        <v>7.0</v>
      </c>
      <c r="K28" s="63">
        <v>8.0</v>
      </c>
      <c r="L28" s="63">
        <v>9.0</v>
      </c>
    </row>
    <row r="29" ht="15.75" customHeight="1">
      <c r="A29" s="61" t="s">
        <v>28</v>
      </c>
      <c r="B29" s="62" t="s">
        <v>22</v>
      </c>
      <c r="C29" s="17"/>
      <c r="D29" s="63">
        <v>4.0</v>
      </c>
      <c r="E29" s="63">
        <v>6.0</v>
      </c>
      <c r="F29" s="63">
        <v>7.0</v>
      </c>
      <c r="G29" s="63">
        <v>5.0</v>
      </c>
      <c r="H29" s="63">
        <v>7.0</v>
      </c>
      <c r="I29" s="63">
        <v>9.0</v>
      </c>
      <c r="J29" s="63">
        <v>5.0</v>
      </c>
      <c r="K29" s="63">
        <v>6.0</v>
      </c>
      <c r="L29" s="63">
        <v>7.0</v>
      </c>
    </row>
    <row r="30" ht="15.75" customHeight="1">
      <c r="A30" s="33" t="s">
        <v>35</v>
      </c>
      <c r="B30" s="56" t="s">
        <v>14</v>
      </c>
      <c r="C30" s="17"/>
      <c r="D30" s="48">
        <v>4.0</v>
      </c>
      <c r="E30" s="48">
        <v>5.0</v>
      </c>
      <c r="F30" s="48">
        <v>7.0</v>
      </c>
      <c r="G30" s="48">
        <v>8.0</v>
      </c>
      <c r="H30" s="48">
        <v>9.0</v>
      </c>
      <c r="I30" s="48">
        <v>10.0</v>
      </c>
      <c r="J30" s="48">
        <v>8.0</v>
      </c>
      <c r="K30" s="48">
        <v>9.0</v>
      </c>
      <c r="L30" s="48">
        <v>10.0</v>
      </c>
    </row>
    <row r="31" ht="15.75" customHeight="1">
      <c r="A31" s="33" t="s">
        <v>35</v>
      </c>
      <c r="B31" s="56" t="s">
        <v>17</v>
      </c>
      <c r="C31" s="17"/>
      <c r="D31" s="48">
        <v>5.0</v>
      </c>
      <c r="E31" s="48">
        <v>7.0</v>
      </c>
      <c r="F31" s="48">
        <v>9.0</v>
      </c>
      <c r="G31" s="48">
        <v>8.0</v>
      </c>
      <c r="H31" s="48">
        <v>9.0</v>
      </c>
      <c r="I31" s="48">
        <v>10.0</v>
      </c>
      <c r="J31" s="48">
        <v>6.0</v>
      </c>
      <c r="K31" s="48">
        <v>8.0</v>
      </c>
      <c r="L31" s="48">
        <v>9.0</v>
      </c>
    </row>
    <row r="32" ht="15.75" customHeight="1">
      <c r="A32" s="33" t="s">
        <v>35</v>
      </c>
      <c r="B32" s="56" t="s">
        <v>20</v>
      </c>
      <c r="C32" s="17"/>
      <c r="D32" s="48">
        <v>4.0</v>
      </c>
      <c r="E32" s="48">
        <v>5.0</v>
      </c>
      <c r="F32" s="48">
        <v>7.0</v>
      </c>
      <c r="G32" s="48">
        <v>5.0</v>
      </c>
      <c r="H32" s="48">
        <v>6.0</v>
      </c>
      <c r="I32" s="48">
        <v>8.0</v>
      </c>
      <c r="J32" s="48">
        <v>5.0</v>
      </c>
      <c r="K32" s="48">
        <v>6.0</v>
      </c>
      <c r="L32" s="48">
        <v>7.0</v>
      </c>
    </row>
    <row r="33" ht="15.75" customHeight="1">
      <c r="A33" s="33" t="s">
        <v>35</v>
      </c>
      <c r="B33" s="56" t="s">
        <v>22</v>
      </c>
      <c r="C33" s="17"/>
      <c r="D33" s="48">
        <v>7.0</v>
      </c>
      <c r="E33" s="48">
        <v>8.0</v>
      </c>
      <c r="F33" s="48">
        <v>9.0</v>
      </c>
      <c r="G33" s="48">
        <v>7.0</v>
      </c>
      <c r="H33" s="48">
        <v>8.0</v>
      </c>
      <c r="I33" s="48">
        <v>9.0</v>
      </c>
      <c r="J33" s="48">
        <v>6.0</v>
      </c>
      <c r="K33" s="48">
        <v>7.0</v>
      </c>
      <c r="L33" s="48">
        <v>8.0</v>
      </c>
    </row>
    <row r="34" ht="15.75" customHeight="1">
      <c r="A34" s="61" t="s">
        <v>45</v>
      </c>
      <c r="B34" s="62" t="s">
        <v>14</v>
      </c>
      <c r="C34" s="17"/>
      <c r="D34" s="63">
        <v>4.0</v>
      </c>
      <c r="E34" s="63">
        <v>6.0</v>
      </c>
      <c r="F34" s="63">
        <v>7.0</v>
      </c>
      <c r="G34" s="63">
        <v>3.0</v>
      </c>
      <c r="H34" s="63">
        <v>4.0</v>
      </c>
      <c r="I34" s="63">
        <v>6.0</v>
      </c>
      <c r="J34" s="63">
        <v>4.0</v>
      </c>
      <c r="K34" s="63">
        <v>5.0</v>
      </c>
      <c r="L34" s="63">
        <v>6.0</v>
      </c>
    </row>
    <row r="35" ht="15.75" customHeight="1">
      <c r="A35" s="61" t="s">
        <v>45</v>
      </c>
      <c r="B35" s="62" t="s">
        <v>17</v>
      </c>
      <c r="C35" s="17"/>
      <c r="D35" s="63">
        <v>3.0</v>
      </c>
      <c r="E35" s="63">
        <v>5.0</v>
      </c>
      <c r="F35" s="63">
        <v>8.0</v>
      </c>
      <c r="G35" s="63">
        <v>7.0</v>
      </c>
      <c r="H35" s="63">
        <v>8.0</v>
      </c>
      <c r="I35" s="63">
        <v>9.0</v>
      </c>
      <c r="J35" s="63">
        <v>7.0</v>
      </c>
      <c r="K35" s="63">
        <v>8.0</v>
      </c>
      <c r="L35" s="63">
        <v>9.0</v>
      </c>
    </row>
    <row r="36" ht="15.75" customHeight="1">
      <c r="A36" s="61" t="s">
        <v>45</v>
      </c>
      <c r="B36" s="62" t="s">
        <v>20</v>
      </c>
      <c r="C36" s="17"/>
      <c r="D36" s="63">
        <v>5.0</v>
      </c>
      <c r="E36" s="63">
        <v>6.0</v>
      </c>
      <c r="F36" s="63">
        <v>7.0</v>
      </c>
      <c r="G36" s="63">
        <v>7.0</v>
      </c>
      <c r="H36" s="63">
        <v>8.0</v>
      </c>
      <c r="I36" s="63">
        <v>9.0</v>
      </c>
      <c r="J36" s="63">
        <v>6.0</v>
      </c>
      <c r="K36" s="63">
        <v>7.0</v>
      </c>
      <c r="L36" s="63">
        <v>8.0</v>
      </c>
    </row>
    <row r="37" ht="15.75" customHeight="1">
      <c r="A37" s="61" t="s">
        <v>45</v>
      </c>
      <c r="B37" s="62" t="s">
        <v>22</v>
      </c>
      <c r="C37" s="17"/>
      <c r="D37" s="63">
        <v>6.0</v>
      </c>
      <c r="E37" s="63">
        <v>7.0</v>
      </c>
      <c r="F37" s="63">
        <v>8.0</v>
      </c>
      <c r="G37" s="63">
        <v>7.0</v>
      </c>
      <c r="H37" s="63">
        <v>8.0</v>
      </c>
      <c r="I37" s="63">
        <v>10.0</v>
      </c>
      <c r="J37" s="63">
        <v>7.0</v>
      </c>
      <c r="K37" s="63">
        <v>8.0</v>
      </c>
      <c r="L37" s="63">
        <v>9.0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H12:H13"/>
    <mergeCell ref="I12:K12"/>
    <mergeCell ref="L12:N12"/>
    <mergeCell ref="O12:Q12"/>
    <mergeCell ref="B4:G4"/>
    <mergeCell ref="B5:G5"/>
    <mergeCell ref="B6:G6"/>
    <mergeCell ref="B7:G7"/>
    <mergeCell ref="B8:G8"/>
    <mergeCell ref="A12:A13"/>
    <mergeCell ref="B12:G13"/>
    <mergeCell ref="G20:I20"/>
    <mergeCell ref="J20:L20"/>
    <mergeCell ref="B14:G14"/>
    <mergeCell ref="B15:G15"/>
    <mergeCell ref="B16:G16"/>
    <mergeCell ref="B17:G17"/>
    <mergeCell ref="A20:A21"/>
    <mergeCell ref="B20:C21"/>
    <mergeCell ref="D20:F20"/>
    <mergeCell ref="B22:C22"/>
    <mergeCell ref="B23:C23"/>
    <mergeCell ref="B24:C24"/>
    <mergeCell ref="B25:C25"/>
    <mergeCell ref="B26:C26"/>
    <mergeCell ref="B27:C27"/>
    <mergeCell ref="B28:C28"/>
    <mergeCell ref="B36:C36"/>
    <mergeCell ref="B37:C37"/>
    <mergeCell ref="B29:C29"/>
    <mergeCell ref="B30:C30"/>
    <mergeCell ref="B31:C31"/>
    <mergeCell ref="B32:C32"/>
    <mergeCell ref="B33:C33"/>
    <mergeCell ref="B34:C34"/>
    <mergeCell ref="B35:C3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13"/>
    <col customWidth="1" min="2" max="4" width="7.63"/>
    <col customWidth="1" min="5" max="5" width="11.13"/>
    <col customWidth="1" min="6" max="26" width="7.63"/>
  </cols>
  <sheetData>
    <row r="1">
      <c r="A1" s="2" t="s">
        <v>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1" t="s">
        <v>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9" t="s">
        <v>7</v>
      </c>
      <c r="B4" s="9" t="s">
        <v>10</v>
      </c>
      <c r="C4" s="9" t="s">
        <v>11</v>
      </c>
      <c r="D4" s="9" t="s">
        <v>12</v>
      </c>
      <c r="E4" s="5"/>
      <c r="F4" s="5"/>
      <c r="G4" s="5"/>
      <c r="H4" s="5"/>
      <c r="I4" s="5"/>
      <c r="J4" s="5"/>
      <c r="K4" s="5"/>
      <c r="L4" s="5"/>
      <c r="M4" s="5"/>
    </row>
    <row r="5">
      <c r="A5" s="14" t="s">
        <v>13</v>
      </c>
      <c r="B5" s="28">
        <f>MIN('Концепции и оценки'!I14,'Концепции и оценки'!L14,'Концепции и оценки'!O14)</f>
        <v>4</v>
      </c>
      <c r="C5" s="28">
        <f>AVERAGE('Концепции и оценки'!J14,'Концепции и оценки'!M14,'Концепции и оценки'!P14)</f>
        <v>6.333333333</v>
      </c>
      <c r="D5" s="28">
        <f>MAX('Концепции и оценки'!K14,'Концепции и оценки'!N14,'Концепции и оценки'!Q14)</f>
        <v>9</v>
      </c>
      <c r="E5" s="5"/>
      <c r="F5" s="5"/>
      <c r="G5" s="5"/>
      <c r="H5" s="5"/>
      <c r="I5" s="5"/>
      <c r="J5" s="5"/>
      <c r="K5" s="5"/>
      <c r="L5" s="5"/>
      <c r="M5" s="5"/>
    </row>
    <row r="6">
      <c r="A6" s="14" t="s">
        <v>28</v>
      </c>
      <c r="B6" s="28">
        <f>MIN('Концепции и оценки'!I15,'Концепции и оценки'!L15,'Концепции и оценки'!O15)</f>
        <v>4</v>
      </c>
      <c r="C6" s="28">
        <f>AVERAGE('Концепции и оценки'!J15,'Концепции и оценки'!M15,'Концепции и оценки'!P15)</f>
        <v>8</v>
      </c>
      <c r="D6" s="28">
        <f>MAX('Концепции и оценки'!K15,'Концепции и оценки'!N15,'Концепции и оценки'!Q15)</f>
        <v>10</v>
      </c>
      <c r="E6" s="5"/>
      <c r="F6" s="5"/>
      <c r="G6" s="5"/>
      <c r="H6" s="5"/>
      <c r="I6" s="5"/>
      <c r="J6" s="5"/>
      <c r="K6" s="5"/>
      <c r="L6" s="5"/>
      <c r="M6" s="5"/>
    </row>
    <row r="7">
      <c r="A7" s="14" t="s">
        <v>35</v>
      </c>
      <c r="B7" s="28">
        <f>MIN('Концепции и оценки'!I16,'Концепции и оценки'!L16,'Концепции и оценки'!O16)</f>
        <v>5</v>
      </c>
      <c r="C7" s="28">
        <f>AVERAGE('Концепции и оценки'!J16,'Концепции и оценки'!M16,'Концепции и оценки'!P16)</f>
        <v>7.666666667</v>
      </c>
      <c r="D7" s="28">
        <f>MAX('Концепции и оценки'!K16,'Концепции и оценки'!N16,'Концепции и оценки'!Q16)</f>
        <v>10</v>
      </c>
      <c r="E7" s="5"/>
      <c r="F7" s="5"/>
      <c r="G7" s="5"/>
      <c r="H7" s="5"/>
      <c r="I7" s="5"/>
      <c r="J7" s="5"/>
      <c r="K7" s="5"/>
      <c r="L7" s="5"/>
      <c r="M7" s="5"/>
    </row>
    <row r="8">
      <c r="A8" s="14" t="s">
        <v>45</v>
      </c>
      <c r="B8" s="28">
        <f>MIN('Концепции и оценки'!I17,'Концепции и оценки'!L17,'Концепции и оценки'!O17)</f>
        <v>3</v>
      </c>
      <c r="C8" s="28">
        <f>AVERAGE('Концепции и оценки'!J17,'Концепции и оценки'!M17,'Концепции и оценки'!P17)</f>
        <v>6.333333333</v>
      </c>
      <c r="D8" s="28">
        <f>MAX('Концепции и оценки'!K17,'Концепции и оценки'!N17,'Концепции и оценки'!Q17)</f>
        <v>7</v>
      </c>
      <c r="E8" s="5"/>
      <c r="F8" s="5"/>
      <c r="G8" s="5"/>
      <c r="H8" s="5"/>
      <c r="I8" s="5"/>
      <c r="J8" s="5"/>
      <c r="K8" s="5"/>
      <c r="L8" s="5"/>
      <c r="M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>
      <c r="A10" s="51" t="s">
        <v>54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>
      <c r="A11" s="52" t="s">
        <v>7</v>
      </c>
      <c r="B11" s="52" t="s">
        <v>59</v>
      </c>
      <c r="C11" s="52" t="s">
        <v>60</v>
      </c>
      <c r="D11" s="52" t="s">
        <v>61</v>
      </c>
      <c r="E11" s="54" t="s">
        <v>31</v>
      </c>
      <c r="F11" s="5"/>
      <c r="G11" s="5"/>
      <c r="H11" s="5"/>
      <c r="I11" s="5"/>
      <c r="J11" s="5"/>
      <c r="K11" s="5"/>
      <c r="L11" s="5"/>
      <c r="M11" s="5"/>
    </row>
    <row r="12">
      <c r="A12" s="50" t="s">
        <v>13</v>
      </c>
      <c r="B12" s="58">
        <f t="shared" ref="B12:D12" si="1">B5/MAX($D$5:$D$8)</f>
        <v>0.4</v>
      </c>
      <c r="C12" s="58">
        <f t="shared" si="1"/>
        <v>0.6333333333</v>
      </c>
      <c r="D12" s="58">
        <f t="shared" si="1"/>
        <v>0.9</v>
      </c>
      <c r="E12" s="50" t="s">
        <v>64</v>
      </c>
      <c r="F12" s="5"/>
      <c r="G12" s="5"/>
      <c r="H12" s="5"/>
      <c r="I12" s="5"/>
      <c r="J12" s="5"/>
      <c r="K12" s="5"/>
      <c r="L12" s="5"/>
      <c r="M12" s="5"/>
    </row>
    <row r="13">
      <c r="A13" s="50" t="s">
        <v>28</v>
      </c>
      <c r="B13" s="58">
        <f t="shared" ref="B13:D13" si="2">B6/MAX($D$5:$D$8)</f>
        <v>0.4</v>
      </c>
      <c r="C13" s="58">
        <f t="shared" si="2"/>
        <v>0.8</v>
      </c>
      <c r="D13" s="58">
        <f t="shared" si="2"/>
        <v>1</v>
      </c>
      <c r="E13" s="50" t="s">
        <v>65</v>
      </c>
      <c r="F13" s="5"/>
      <c r="G13" s="5"/>
      <c r="H13" s="5"/>
      <c r="I13" s="5"/>
      <c r="J13" s="5"/>
      <c r="K13" s="5"/>
      <c r="L13" s="5"/>
      <c r="M13" s="5"/>
    </row>
    <row r="14">
      <c r="A14" s="50" t="s">
        <v>35</v>
      </c>
      <c r="B14" s="58">
        <f t="shared" ref="B14:D14" si="3">B7/MAX($D$5:$D$8)</f>
        <v>0.5</v>
      </c>
      <c r="C14" s="58">
        <f t="shared" si="3"/>
        <v>0.7666666667</v>
      </c>
      <c r="D14" s="58">
        <f t="shared" si="3"/>
        <v>1</v>
      </c>
      <c r="E14" s="50" t="s">
        <v>64</v>
      </c>
      <c r="F14" s="5"/>
      <c r="G14" s="5"/>
      <c r="H14" s="5"/>
      <c r="I14" s="5"/>
      <c r="J14" s="5"/>
      <c r="K14" s="5"/>
      <c r="L14" s="5"/>
      <c r="M14" s="5"/>
    </row>
    <row r="15">
      <c r="A15" s="50" t="s">
        <v>45</v>
      </c>
      <c r="B15" s="58">
        <f t="shared" ref="B15:D15" si="4">B8/MAX($D$5:$D$8)</f>
        <v>0.3</v>
      </c>
      <c r="C15" s="58">
        <f t="shared" si="4"/>
        <v>0.6333333333</v>
      </c>
      <c r="D15" s="58">
        <f t="shared" si="4"/>
        <v>0.7</v>
      </c>
      <c r="E15" s="50" t="s">
        <v>64</v>
      </c>
      <c r="F15" s="5"/>
      <c r="G15" s="5"/>
      <c r="H15" s="5"/>
      <c r="I15" s="5"/>
      <c r="J15" s="5"/>
      <c r="K15" s="5"/>
      <c r="L15" s="5"/>
      <c r="M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>
      <c r="A17" s="51" t="s">
        <v>66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>
      <c r="A18" s="64" t="s">
        <v>67</v>
      </c>
      <c r="B18" s="65" t="s">
        <v>39</v>
      </c>
      <c r="C18" s="13"/>
      <c r="D18" s="17"/>
      <c r="E18" s="65" t="s">
        <v>43</v>
      </c>
      <c r="F18" s="13"/>
      <c r="G18" s="17"/>
      <c r="H18" s="65" t="s">
        <v>47</v>
      </c>
      <c r="I18" s="13"/>
      <c r="J18" s="17"/>
      <c r="K18" s="65" t="s">
        <v>51</v>
      </c>
      <c r="L18" s="13"/>
      <c r="M18" s="17"/>
    </row>
    <row r="19">
      <c r="A19" s="41"/>
      <c r="B19" s="52" t="s">
        <v>10</v>
      </c>
      <c r="C19" s="52" t="s">
        <v>11</v>
      </c>
      <c r="D19" s="52" t="s">
        <v>12</v>
      </c>
      <c r="E19" s="52" t="s">
        <v>10</v>
      </c>
      <c r="F19" s="52" t="s">
        <v>11</v>
      </c>
      <c r="G19" s="52" t="s">
        <v>12</v>
      </c>
      <c r="H19" s="52" t="s">
        <v>10</v>
      </c>
      <c r="I19" s="52" t="s">
        <v>11</v>
      </c>
      <c r="J19" s="52" t="s">
        <v>12</v>
      </c>
      <c r="K19" s="52" t="s">
        <v>10</v>
      </c>
      <c r="L19" s="52" t="s">
        <v>11</v>
      </c>
      <c r="M19" s="52" t="s">
        <v>12</v>
      </c>
    </row>
    <row r="20">
      <c r="A20" s="50" t="s">
        <v>68</v>
      </c>
      <c r="B20" s="58">
        <f>MIN('Концепции и оценки'!D22,'Концепции и оценки'!G22,'Концепции и оценки'!J22)</f>
        <v>6</v>
      </c>
      <c r="C20" s="58">
        <f>AVERAGE('Концепции и оценки'!E22,'Концепции и оценки'!H22,'Концепции и оценки'!K22)</f>
        <v>7.666666667</v>
      </c>
      <c r="D20" s="58">
        <f>MAX('Концепции и оценки'!F22,'Концепции и оценки'!I22,'Концепции и оценки'!L22)</f>
        <v>10</v>
      </c>
      <c r="E20" s="58">
        <f>MIN('Концепции и оценки'!D26,'Концепции и оценки'!G26,'Концепции и оценки'!J26)</f>
        <v>3</v>
      </c>
      <c r="F20" s="58">
        <f>AVERAGE('Концепции и оценки'!E26,'Концепции и оценки'!H26,'Концепции и оценки'!K26)</f>
        <v>6.666666667</v>
      </c>
      <c r="G20" s="58">
        <f>MAX('Концепции и оценки'!F26,'Концепции и оценки'!I26,'Концепции и оценки'!L26)</f>
        <v>9</v>
      </c>
      <c r="H20" s="58">
        <f>MIN('Концепции и оценки'!D30,'Концепции и оценки'!G30,'Концепции и оценки'!J30)</f>
        <v>4</v>
      </c>
      <c r="I20" s="58">
        <f>AVERAGE('Концепции и оценки'!E30,'Концепции и оценки'!H30,'Концепции и оценки'!K30)</f>
        <v>7.666666667</v>
      </c>
      <c r="J20" s="58">
        <f>MAX('Концепции и оценки'!F30,'Концепции и оценки'!I30,'Концепции и оценки'!L30)</f>
        <v>10</v>
      </c>
      <c r="K20" s="58">
        <f>MIN('Концепции и оценки'!D34,'Концепции и оценки'!G34,'Концепции и оценки'!J34)</f>
        <v>3</v>
      </c>
      <c r="L20" s="58">
        <f>AVERAGE('Концепции и оценки'!E34,'Концепции и оценки'!H34,'Концепции и оценки'!K34)</f>
        <v>5</v>
      </c>
      <c r="M20" s="58">
        <f>MAX('Концепции и оценки'!F34,'Концепции и оценки'!I34,'Концепции и оценки'!L34)</f>
        <v>7</v>
      </c>
    </row>
    <row r="21" ht="15.75" customHeight="1">
      <c r="A21" s="50" t="s">
        <v>76</v>
      </c>
      <c r="B21" s="58">
        <f>MIN('Концепции и оценки'!D23,'Концепции и оценки'!G23,'Концепции и оценки'!J23)</f>
        <v>2</v>
      </c>
      <c r="C21" s="58">
        <f>AVERAGE('Концепции и оценки'!E23,'Концепции и оценки'!H23,'Концепции и оценки'!K23)</f>
        <v>6.333333333</v>
      </c>
      <c r="D21" s="58">
        <f>MAX('Концепции и оценки'!F23,'Концепции и оценки'!I23,'Концепции и оценки'!L23)</f>
        <v>9</v>
      </c>
      <c r="E21" s="58">
        <f>MIN('Концепции и оценки'!D27,'Концепции и оценки'!G27,'Концепции и оценки'!J27)</f>
        <v>2</v>
      </c>
      <c r="F21" s="58">
        <f>AVERAGE('Концепции и оценки'!E27,'Концепции и оценки'!H27,'Концепции и оценки'!K27)</f>
        <v>5.666666667</v>
      </c>
      <c r="G21" s="58">
        <f>MAX('Концепции и оценки'!F27,'Концепции и оценки'!I27,'Концепции и оценки'!L27)</f>
        <v>9</v>
      </c>
      <c r="H21" s="58">
        <f>MIN('Концепции и оценки'!D31,'Концепции и оценки'!G31,'Концепции и оценки'!J31)</f>
        <v>5</v>
      </c>
      <c r="I21" s="58">
        <f>AVERAGE('Концепции и оценки'!E31,'Концепции и оценки'!H31,'Концепции и оценки'!K31)</f>
        <v>8</v>
      </c>
      <c r="J21" s="58">
        <f>MAX('Концепции и оценки'!F31,'Концепции и оценки'!I31,'Концепции и оценки'!L31)</f>
        <v>10</v>
      </c>
      <c r="K21" s="58">
        <f>MIN('Концепции и оценки'!D35,'Концепции и оценки'!G35,'Концепции и оценки'!J35)</f>
        <v>3</v>
      </c>
      <c r="L21" s="58">
        <f>AVERAGE('Концепции и оценки'!E35,'Концепции и оценки'!H35,'Концепции и оценки'!K35)</f>
        <v>7</v>
      </c>
      <c r="M21" s="58">
        <f>MAX('Концепции и оценки'!F35,'Концепции и оценки'!I35,'Концепции и оценки'!L35)</f>
        <v>9</v>
      </c>
    </row>
    <row r="22" ht="15.75" customHeight="1">
      <c r="A22" s="50" t="s">
        <v>78</v>
      </c>
      <c r="B22" s="58">
        <f>MIN('Концепции и оценки'!D24,'Концепции и оценки'!G24,'Концепции и оценки'!J24)</f>
        <v>2</v>
      </c>
      <c r="C22" s="58">
        <f>AVERAGE('Концепции и оценки'!E24,'Концепции и оценки'!H24,'Концепции и оценки'!K24)</f>
        <v>5</v>
      </c>
      <c r="D22" s="58">
        <f>MAX('Концепции и оценки'!F24,'Концепции и оценки'!I24,'Концепции и оценки'!L24)</f>
        <v>7</v>
      </c>
      <c r="E22" s="58">
        <f>MIN('Концепции и оценки'!D28,'Концепции и оценки'!G28,'Концепции и оценки'!J28)</f>
        <v>4</v>
      </c>
      <c r="F22" s="58">
        <f>AVERAGE('Концепции и оценки'!E28,'Концепции и оценки'!H28,'Концепции и оценки'!K28)</f>
        <v>7.666666667</v>
      </c>
      <c r="G22" s="58">
        <f>MAX('Концепции и оценки'!F28,'Концепции и оценки'!I28,'Концепции и оценки'!L28)</f>
        <v>10</v>
      </c>
      <c r="H22" s="58">
        <f>MIN('Концепции и оценки'!D32,'Концепции и оценки'!G32,'Концепции и оценки'!J32)</f>
        <v>4</v>
      </c>
      <c r="I22" s="58">
        <f>AVERAGE('Концепции и оценки'!E32,'Концепции и оценки'!H32,'Концепции и оценки'!K32)</f>
        <v>5.666666667</v>
      </c>
      <c r="J22" s="58">
        <f>MAX('Концепции и оценки'!F32,'Концепции и оценки'!I32,'Концепции и оценки'!L32)</f>
        <v>8</v>
      </c>
      <c r="K22" s="58">
        <f>MIN('Концепции и оценки'!D36,'Концепции и оценки'!G36,'Концепции и оценки'!J36)</f>
        <v>5</v>
      </c>
      <c r="L22" s="58">
        <f>AVERAGE('Концепции и оценки'!E36,'Концепции и оценки'!H36,'Концепции и оценки'!K36)</f>
        <v>7</v>
      </c>
      <c r="M22" s="58">
        <f>MAX('Концепции и оценки'!F36,'Концепции и оценки'!I36,'Концепции и оценки'!L36)</f>
        <v>9</v>
      </c>
    </row>
    <row r="23" ht="15.75" customHeight="1">
      <c r="A23" s="50" t="s">
        <v>79</v>
      </c>
      <c r="B23" s="58">
        <f>MIN('Концепции и оценки'!D25,'Концепции и оценки'!G25,'Концепции и оценки'!J25)</f>
        <v>5</v>
      </c>
      <c r="C23" s="58">
        <f>AVERAGE('Концепции и оценки'!E25,'Концепции и оценки'!H25,'Концепции и оценки'!K25)</f>
        <v>6.666666667</v>
      </c>
      <c r="D23" s="58">
        <f>MAX('Концепции и оценки'!F25,'Концепции и оценки'!I25,'Концепции и оценки'!L25)</f>
        <v>9</v>
      </c>
      <c r="E23" s="58">
        <f>MIN('Концепции и оценки'!D29,'Концепции и оценки'!G29,'Концепции и оценки'!J29)</f>
        <v>4</v>
      </c>
      <c r="F23" s="58">
        <f>AVERAGE('Концепции и оценки'!E29,'Концепции и оценки'!H29,'Концепции и оценки'!K29)</f>
        <v>6.333333333</v>
      </c>
      <c r="G23" s="58">
        <f>MAX('Концепции и оценки'!F29,'Концепции и оценки'!I29,'Концепции и оценки'!L29)</f>
        <v>9</v>
      </c>
      <c r="H23" s="58">
        <f>MIN('Концепции и оценки'!D33,'Концепции и оценки'!G33,'Концепции и оценки'!J33)</f>
        <v>6</v>
      </c>
      <c r="I23" s="58">
        <f>AVERAGE('Концепции и оценки'!E33,'Концепции и оценки'!H33,'Концепции и оценки'!K33)</f>
        <v>7.666666667</v>
      </c>
      <c r="J23" s="58">
        <f>MAX('Концепции и оценки'!F33,'Концепции и оценки'!I33,'Концепции и оценки'!L33)</f>
        <v>9</v>
      </c>
      <c r="K23" s="58">
        <f>MIN('Концепции и оценки'!D37,'Концепции и оценки'!G37,'Концепции и оценки'!J37)</f>
        <v>6</v>
      </c>
      <c r="L23" s="58">
        <f>AVERAGE('Концепции и оценки'!E37,'Концепции и оценки'!H37,'Концепции и оценки'!K37)</f>
        <v>7.666666667</v>
      </c>
      <c r="M23" s="58">
        <f>MAX('Концепции и оценки'!F37,'Концепции и оценки'!I37,'Концепции и оценки'!L37)</f>
        <v>10</v>
      </c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ht="15.75" customHeight="1">
      <c r="A25" s="51" t="s">
        <v>81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ht="15.75" customHeight="1">
      <c r="A26" s="64" t="s">
        <v>67</v>
      </c>
      <c r="B26" s="65" t="s">
        <v>39</v>
      </c>
      <c r="C26" s="13"/>
      <c r="D26" s="17"/>
      <c r="E26" s="65" t="s">
        <v>43</v>
      </c>
      <c r="F26" s="13"/>
      <c r="G26" s="17"/>
      <c r="H26" s="65" t="s">
        <v>47</v>
      </c>
      <c r="I26" s="13"/>
      <c r="J26" s="17"/>
      <c r="K26" s="65" t="s">
        <v>51</v>
      </c>
      <c r="L26" s="13"/>
      <c r="M26" s="17"/>
    </row>
    <row r="27" ht="15.75" customHeight="1">
      <c r="A27" s="41"/>
      <c r="B27" s="52" t="s">
        <v>10</v>
      </c>
      <c r="C27" s="52" t="s">
        <v>11</v>
      </c>
      <c r="D27" s="52" t="s">
        <v>12</v>
      </c>
      <c r="E27" s="52" t="s">
        <v>10</v>
      </c>
      <c r="F27" s="52" t="s">
        <v>11</v>
      </c>
      <c r="G27" s="52" t="s">
        <v>12</v>
      </c>
      <c r="H27" s="52" t="s">
        <v>10</v>
      </c>
      <c r="I27" s="52" t="s">
        <v>11</v>
      </c>
      <c r="J27" s="52" t="s">
        <v>12</v>
      </c>
      <c r="K27" s="52" t="s">
        <v>10</v>
      </c>
      <c r="L27" s="52" t="s">
        <v>11</v>
      </c>
      <c r="M27" s="52" t="s">
        <v>12</v>
      </c>
    </row>
    <row r="28" ht="15.75" customHeight="1">
      <c r="A28" s="50" t="s">
        <v>68</v>
      </c>
      <c r="B28" s="58">
        <f t="shared" ref="B28:D28" si="5">B20/MAX($D$20:$D$23)</f>
        <v>0.6</v>
      </c>
      <c r="C28" s="58">
        <f t="shared" si="5"/>
        <v>0.7666666667</v>
      </c>
      <c r="D28" s="58">
        <f t="shared" si="5"/>
        <v>1</v>
      </c>
      <c r="E28" s="58">
        <f t="shared" ref="E28:E31" si="9">MIN($E$20:$E$23)/G20</f>
        <v>0.2222222222</v>
      </c>
      <c r="F28" s="58">
        <f t="shared" ref="F28:F31" si="10">MIN($E$20:$E$23)/F20</f>
        <v>0.3</v>
      </c>
      <c r="G28" s="58">
        <f t="shared" ref="G28:G31" si="11">MIN($E$20:$E$23)/E20</f>
        <v>0.6666666667</v>
      </c>
      <c r="H28" s="58">
        <f t="shared" ref="H28:J28" si="6">H20/MAX($J$20:$J$23)</f>
        <v>0.4</v>
      </c>
      <c r="I28" s="58">
        <f t="shared" si="6"/>
        <v>0.7666666667</v>
      </c>
      <c r="J28" s="58">
        <f t="shared" si="6"/>
        <v>1</v>
      </c>
      <c r="K28" s="58">
        <f t="shared" ref="K28:M28" si="7">K20/MAX($M$20:$M$23)</f>
        <v>0.3</v>
      </c>
      <c r="L28" s="58">
        <f t="shared" si="7"/>
        <v>0.5</v>
      </c>
      <c r="M28" s="58">
        <f t="shared" si="7"/>
        <v>0.7</v>
      </c>
    </row>
    <row r="29" ht="15.75" customHeight="1">
      <c r="A29" s="50" t="s">
        <v>76</v>
      </c>
      <c r="B29" s="58">
        <f t="shared" ref="B29:D29" si="8">B21/MAX($D$20:$D$23)</f>
        <v>0.2</v>
      </c>
      <c r="C29" s="58">
        <f t="shared" si="8"/>
        <v>0.6333333333</v>
      </c>
      <c r="D29" s="58">
        <f t="shared" si="8"/>
        <v>0.9</v>
      </c>
      <c r="E29" s="58">
        <f t="shared" si="9"/>
        <v>0.2222222222</v>
      </c>
      <c r="F29" s="58">
        <f t="shared" si="10"/>
        <v>0.3529411765</v>
      </c>
      <c r="G29" s="58">
        <f t="shared" si="11"/>
        <v>1</v>
      </c>
      <c r="H29" s="58">
        <f t="shared" ref="H29:J29" si="12">H21/MAX($J$20:$J$23)</f>
        <v>0.5</v>
      </c>
      <c r="I29" s="58">
        <f t="shared" si="12"/>
        <v>0.8</v>
      </c>
      <c r="J29" s="58">
        <f t="shared" si="12"/>
        <v>1</v>
      </c>
      <c r="K29" s="58">
        <f t="shared" ref="K29:M29" si="13">K21/MAX($M$20:$M$23)</f>
        <v>0.3</v>
      </c>
      <c r="L29" s="58">
        <f t="shared" si="13"/>
        <v>0.7</v>
      </c>
      <c r="M29" s="58">
        <f t="shared" si="13"/>
        <v>0.9</v>
      </c>
    </row>
    <row r="30" ht="15.75" customHeight="1">
      <c r="A30" s="50" t="s">
        <v>78</v>
      </c>
      <c r="B30" s="58">
        <f t="shared" ref="B30:D30" si="14">B22/MAX($D$20:$D$23)</f>
        <v>0.2</v>
      </c>
      <c r="C30" s="58">
        <f t="shared" si="14"/>
        <v>0.5</v>
      </c>
      <c r="D30" s="58">
        <f t="shared" si="14"/>
        <v>0.7</v>
      </c>
      <c r="E30" s="58">
        <f t="shared" si="9"/>
        <v>0.2</v>
      </c>
      <c r="F30" s="58">
        <f t="shared" si="10"/>
        <v>0.2608695652</v>
      </c>
      <c r="G30" s="58">
        <f t="shared" si="11"/>
        <v>0.5</v>
      </c>
      <c r="H30" s="58">
        <f t="shared" ref="H30:J30" si="15">H22/MAX($J$20:$J$23)</f>
        <v>0.4</v>
      </c>
      <c r="I30" s="58">
        <f t="shared" si="15"/>
        <v>0.5666666667</v>
      </c>
      <c r="J30" s="58">
        <f t="shared" si="15"/>
        <v>0.8</v>
      </c>
      <c r="K30" s="58">
        <f t="shared" ref="K30:M30" si="16">K22/MAX($M$20:$M$23)</f>
        <v>0.5</v>
      </c>
      <c r="L30" s="58">
        <f t="shared" si="16"/>
        <v>0.7</v>
      </c>
      <c r="M30" s="58">
        <f t="shared" si="16"/>
        <v>0.9</v>
      </c>
    </row>
    <row r="31" ht="15.75" customHeight="1">
      <c r="A31" s="50" t="s">
        <v>79</v>
      </c>
      <c r="B31" s="58">
        <f t="shared" ref="B31:D31" si="17">B23/MAX($D$20:$D$23)</f>
        <v>0.5</v>
      </c>
      <c r="C31" s="58">
        <f t="shared" si="17"/>
        <v>0.6666666667</v>
      </c>
      <c r="D31" s="58">
        <f t="shared" si="17"/>
        <v>0.9</v>
      </c>
      <c r="E31" s="58">
        <f t="shared" si="9"/>
        <v>0.2222222222</v>
      </c>
      <c r="F31" s="58">
        <f t="shared" si="10"/>
        <v>0.3157894737</v>
      </c>
      <c r="G31" s="58">
        <f t="shared" si="11"/>
        <v>0.5</v>
      </c>
      <c r="H31" s="58">
        <f t="shared" ref="H31:J31" si="18">H23/MAX($J$20:$J$23)</f>
        <v>0.6</v>
      </c>
      <c r="I31" s="58">
        <f t="shared" si="18"/>
        <v>0.7666666667</v>
      </c>
      <c r="J31" s="58">
        <f t="shared" si="18"/>
        <v>0.9</v>
      </c>
      <c r="K31" s="58">
        <f t="shared" ref="K31:M31" si="19">K23/MAX($M$20:$M$23)</f>
        <v>0.6</v>
      </c>
      <c r="L31" s="58">
        <f t="shared" si="19"/>
        <v>0.7666666667</v>
      </c>
      <c r="M31" s="58">
        <f t="shared" si="19"/>
        <v>1</v>
      </c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ht="15.75" customHeight="1">
      <c r="A33" s="1" t="s">
        <v>83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ht="15.75" customHeight="1">
      <c r="A34" s="64" t="s">
        <v>67</v>
      </c>
      <c r="B34" s="65" t="s">
        <v>39</v>
      </c>
      <c r="C34" s="13"/>
      <c r="D34" s="17"/>
      <c r="E34" s="65" t="s">
        <v>43</v>
      </c>
      <c r="F34" s="13"/>
      <c r="G34" s="17"/>
      <c r="H34" s="65" t="s">
        <v>47</v>
      </c>
      <c r="I34" s="13"/>
      <c r="J34" s="17"/>
      <c r="K34" s="65" t="s">
        <v>51</v>
      </c>
      <c r="L34" s="13"/>
      <c r="M34" s="17"/>
    </row>
    <row r="35" ht="15.75" customHeight="1">
      <c r="A35" s="41"/>
      <c r="B35" s="52" t="s">
        <v>10</v>
      </c>
      <c r="C35" s="52" t="s">
        <v>11</v>
      </c>
      <c r="D35" s="52" t="s">
        <v>12</v>
      </c>
      <c r="E35" s="52" t="s">
        <v>10</v>
      </c>
      <c r="F35" s="52" t="s">
        <v>11</v>
      </c>
      <c r="G35" s="52" t="s">
        <v>12</v>
      </c>
      <c r="H35" s="52" t="s">
        <v>10</v>
      </c>
      <c r="I35" s="52" t="s">
        <v>11</v>
      </c>
      <c r="J35" s="52" t="s">
        <v>12</v>
      </c>
      <c r="K35" s="52" t="s">
        <v>10</v>
      </c>
      <c r="L35" s="52" t="s">
        <v>11</v>
      </c>
      <c r="M35" s="52" t="s">
        <v>12</v>
      </c>
    </row>
    <row r="36" ht="15.75" customHeight="1">
      <c r="A36" s="50" t="s">
        <v>68</v>
      </c>
      <c r="B36" s="58">
        <f t="shared" ref="B36:D36" si="20">B$12*B28</f>
        <v>0.24</v>
      </c>
      <c r="C36" s="58">
        <f t="shared" si="20"/>
        <v>0.4855555556</v>
      </c>
      <c r="D36" s="58">
        <f t="shared" si="20"/>
        <v>0.9</v>
      </c>
      <c r="E36" s="58">
        <f t="shared" ref="E36:G36" si="21">B$13*E28</f>
        <v>0.08888888889</v>
      </c>
      <c r="F36" s="58">
        <f t="shared" si="21"/>
        <v>0.24</v>
      </c>
      <c r="G36" s="58">
        <f t="shared" si="21"/>
        <v>0.6666666667</v>
      </c>
      <c r="H36" s="58">
        <f t="shared" ref="H36:J36" si="22">B$14*H28</f>
        <v>0.2</v>
      </c>
      <c r="I36" s="58">
        <f t="shared" si="22"/>
        <v>0.5877777778</v>
      </c>
      <c r="J36" s="58">
        <f t="shared" si="22"/>
        <v>1</v>
      </c>
      <c r="K36" s="58">
        <f t="shared" ref="K36:M36" si="23">B$15*K28</f>
        <v>0.09</v>
      </c>
      <c r="L36" s="58">
        <f t="shared" si="23"/>
        <v>0.3166666667</v>
      </c>
      <c r="M36" s="58">
        <f t="shared" si="23"/>
        <v>0.49</v>
      </c>
    </row>
    <row r="37" ht="15.75" customHeight="1">
      <c r="A37" s="50" t="s">
        <v>76</v>
      </c>
      <c r="B37" s="58">
        <f t="shared" ref="B37:D37" si="24">B$12*B29</f>
        <v>0.08</v>
      </c>
      <c r="C37" s="58">
        <f t="shared" si="24"/>
        <v>0.4011111111</v>
      </c>
      <c r="D37" s="58">
        <f t="shared" si="24"/>
        <v>0.81</v>
      </c>
      <c r="E37" s="58">
        <f t="shared" ref="E37:G37" si="25">B$13*E29</f>
        <v>0.08888888889</v>
      </c>
      <c r="F37" s="58">
        <f t="shared" si="25"/>
        <v>0.2823529412</v>
      </c>
      <c r="G37" s="58">
        <f t="shared" si="25"/>
        <v>1</v>
      </c>
      <c r="H37" s="58">
        <f t="shared" ref="H37:J37" si="26">B$14*H29</f>
        <v>0.25</v>
      </c>
      <c r="I37" s="58">
        <f t="shared" si="26"/>
        <v>0.6133333333</v>
      </c>
      <c r="J37" s="58">
        <f t="shared" si="26"/>
        <v>1</v>
      </c>
      <c r="K37" s="58">
        <f t="shared" ref="K37:M37" si="27">B$15*K29</f>
        <v>0.09</v>
      </c>
      <c r="L37" s="58">
        <f t="shared" si="27"/>
        <v>0.4433333333</v>
      </c>
      <c r="M37" s="58">
        <f t="shared" si="27"/>
        <v>0.63</v>
      </c>
    </row>
    <row r="38" ht="15.75" customHeight="1">
      <c r="A38" s="50" t="s">
        <v>78</v>
      </c>
      <c r="B38" s="58">
        <f t="shared" ref="B38:D38" si="28">B$12*B30</f>
        <v>0.08</v>
      </c>
      <c r="C38" s="58">
        <f t="shared" si="28"/>
        <v>0.3166666667</v>
      </c>
      <c r="D38" s="58">
        <f t="shared" si="28"/>
        <v>0.63</v>
      </c>
      <c r="E38" s="58">
        <f t="shared" ref="E38:G38" si="29">B$13*E30</f>
        <v>0.08</v>
      </c>
      <c r="F38" s="58">
        <f t="shared" si="29"/>
        <v>0.2086956522</v>
      </c>
      <c r="G38" s="58">
        <f t="shared" si="29"/>
        <v>0.5</v>
      </c>
      <c r="H38" s="58">
        <f t="shared" ref="H38:J38" si="30">B$14*H30</f>
        <v>0.2</v>
      </c>
      <c r="I38" s="58">
        <f t="shared" si="30"/>
        <v>0.4344444444</v>
      </c>
      <c r="J38" s="58">
        <f t="shared" si="30"/>
        <v>0.8</v>
      </c>
      <c r="K38" s="58">
        <f t="shared" ref="K38:M38" si="31">B$15*K30</f>
        <v>0.15</v>
      </c>
      <c r="L38" s="58">
        <f t="shared" si="31"/>
        <v>0.4433333333</v>
      </c>
      <c r="M38" s="58">
        <f t="shared" si="31"/>
        <v>0.63</v>
      </c>
    </row>
    <row r="39" ht="15.75" customHeight="1">
      <c r="A39" s="50" t="s">
        <v>79</v>
      </c>
      <c r="B39" s="58">
        <f t="shared" ref="B39:D39" si="32">B$12*B31</f>
        <v>0.2</v>
      </c>
      <c r="C39" s="58">
        <f t="shared" si="32"/>
        <v>0.4222222222</v>
      </c>
      <c r="D39" s="58">
        <f t="shared" si="32"/>
        <v>0.81</v>
      </c>
      <c r="E39" s="58">
        <f t="shared" ref="E39:G39" si="33">B$13*E31</f>
        <v>0.08888888889</v>
      </c>
      <c r="F39" s="58">
        <f t="shared" si="33"/>
        <v>0.2526315789</v>
      </c>
      <c r="G39" s="58">
        <f t="shared" si="33"/>
        <v>0.5</v>
      </c>
      <c r="H39" s="58">
        <f t="shared" ref="H39:J39" si="34">B$14*H31</f>
        <v>0.3</v>
      </c>
      <c r="I39" s="58">
        <f t="shared" si="34"/>
        <v>0.5877777778</v>
      </c>
      <c r="J39" s="58">
        <f t="shared" si="34"/>
        <v>0.9</v>
      </c>
      <c r="K39" s="58">
        <f t="shared" ref="K39:M39" si="35">B$15*K31</f>
        <v>0.18</v>
      </c>
      <c r="L39" s="58">
        <f t="shared" si="35"/>
        <v>0.4855555556</v>
      </c>
      <c r="M39" s="58">
        <f t="shared" si="35"/>
        <v>0.7</v>
      </c>
    </row>
    <row r="40" ht="15.75" customHeight="1">
      <c r="A40" s="50" t="s">
        <v>84</v>
      </c>
      <c r="B40" s="58">
        <v>1.0</v>
      </c>
      <c r="C40" s="58">
        <v>1.0</v>
      </c>
      <c r="D40" s="58">
        <v>1.0</v>
      </c>
      <c r="E40" s="58">
        <v>1.0</v>
      </c>
      <c r="F40" s="58">
        <v>1.0</v>
      </c>
      <c r="G40" s="58">
        <v>1.0</v>
      </c>
      <c r="H40" s="58">
        <v>1.0</v>
      </c>
      <c r="I40" s="58">
        <v>1.0</v>
      </c>
      <c r="J40" s="58">
        <v>1.0</v>
      </c>
      <c r="K40" s="58">
        <v>1.0</v>
      </c>
      <c r="L40" s="58">
        <v>1.0</v>
      </c>
      <c r="M40" s="58">
        <v>1.0</v>
      </c>
    </row>
    <row r="41" ht="15.75" customHeight="1">
      <c r="A41" s="50" t="s">
        <v>85</v>
      </c>
      <c r="B41" s="58">
        <v>0.0</v>
      </c>
      <c r="C41" s="58">
        <v>0.0</v>
      </c>
      <c r="D41" s="58">
        <v>0.0</v>
      </c>
      <c r="E41" s="58">
        <v>0.0</v>
      </c>
      <c r="F41" s="58">
        <v>0.0</v>
      </c>
      <c r="G41" s="58">
        <v>0.0</v>
      </c>
      <c r="H41" s="58">
        <v>0.0</v>
      </c>
      <c r="I41" s="58">
        <v>0.0</v>
      </c>
      <c r="J41" s="58">
        <v>0.0</v>
      </c>
      <c r="K41" s="58">
        <v>0.0</v>
      </c>
      <c r="L41" s="58">
        <v>0.0</v>
      </c>
      <c r="M41" s="58">
        <v>0.0</v>
      </c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ht="15.75" customHeight="1">
      <c r="A43" s="51" t="s">
        <v>86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ht="15.75" customHeight="1">
      <c r="A44" s="52" t="s">
        <v>67</v>
      </c>
      <c r="B44" s="52" t="s">
        <v>87</v>
      </c>
      <c r="C44" s="52" t="s">
        <v>88</v>
      </c>
      <c r="D44" s="52" t="s">
        <v>89</v>
      </c>
      <c r="E44" s="52" t="s">
        <v>90</v>
      </c>
      <c r="F44" s="52" t="s">
        <v>91</v>
      </c>
      <c r="G44" s="52" t="s">
        <v>92</v>
      </c>
      <c r="H44" s="52" t="s">
        <v>93</v>
      </c>
      <c r="I44" s="52" t="s">
        <v>94</v>
      </c>
      <c r="J44" s="52" t="s">
        <v>95</v>
      </c>
      <c r="K44" s="52" t="s">
        <v>96</v>
      </c>
      <c r="L44" s="52" t="s">
        <v>97</v>
      </c>
      <c r="M44" s="52" t="s">
        <v>98</v>
      </c>
    </row>
    <row r="45" ht="15.75" customHeight="1">
      <c r="A45" s="50" t="s">
        <v>68</v>
      </c>
      <c r="B45" s="58">
        <f t="shared" ref="B45:B48" si="36">SQRT((B36-B$40)^2+ (C36-C$40)^2+(D36-D$40)^2)</f>
        <v>0.9231755447</v>
      </c>
      <c r="C45" s="58">
        <f t="shared" ref="C45:C48" si="37">SQRT((E36-E$40)^2+ (F36-F$40)^2+(G36-G$40)^2)</f>
        <v>1.232410065</v>
      </c>
      <c r="D45" s="58">
        <f t="shared" ref="D45:D48" si="38">SQRT((H36-H$40)^2+ (I36-I$40)^2+(J36-J$40)^2)</f>
        <v>0.8999595327</v>
      </c>
      <c r="E45" s="58">
        <f>SQRT((K36-K$40)^2+ (L36-L$40)^2+(M36-M$40)^2)</f>
        <v>1.247054307</v>
      </c>
      <c r="F45" s="58">
        <f t="shared" ref="F45:F48" si="39">SUM(B45:E45)</f>
        <v>4.302599449</v>
      </c>
      <c r="G45" s="58">
        <f t="shared" ref="G45:G48" si="40">SQRT((B36-B$41)^2+ (C36-C$41)^2+(D36-D$41)^2)</f>
        <v>1.050411442</v>
      </c>
      <c r="H45" s="58">
        <f t="shared" ref="H45:H48" si="41">SQRT((E36-E$41)^2+ (F36-F$41)^2+(G36-G$41)^2)</f>
        <v>0.7141048095</v>
      </c>
      <c r="I45" s="58">
        <f t="shared" ref="I45:I48" si="42">SQRT((H36-H$41)^2+ (I36-I$41)^2+(J36-J$41)^2)</f>
        <v>1.177065298</v>
      </c>
      <c r="J45" s="58">
        <f t="shared" ref="J45:J48" si="43">SQRT((K36-K$41)^2+ (L36-L$41)^2+(M36-M$41)^2)</f>
        <v>0.5903200638</v>
      </c>
      <c r="K45" s="58">
        <f t="shared" ref="K45:K48" si="44">SUM(G45:J45)</f>
        <v>3.531901614</v>
      </c>
      <c r="L45" s="58">
        <f t="shared" ref="L45:L48" si="45">K45/(F45+K45)</f>
        <v>0.4508138534</v>
      </c>
      <c r="M45" s="70">
        <f>RANK(L45,L45:L48)</f>
        <v>2</v>
      </c>
    </row>
    <row r="46" ht="15.75" customHeight="1">
      <c r="A46" s="50" t="s">
        <v>76</v>
      </c>
      <c r="B46" s="58">
        <f t="shared" si="36"/>
        <v>1.114077152</v>
      </c>
      <c r="C46" s="58">
        <f t="shared" si="37"/>
        <v>1.159802034</v>
      </c>
      <c r="D46" s="58">
        <f t="shared" si="38"/>
        <v>0.8438075083</v>
      </c>
      <c r="E46" s="58">
        <f t="shared" ref="E46:E48" si="46">SQRT((E37-E$40)^2+ (F37-F$40)^2+(G37-G$40)^2)</f>
        <v>1.159802034</v>
      </c>
      <c r="F46" s="58">
        <f t="shared" si="39"/>
        <v>4.277488728</v>
      </c>
      <c r="G46" s="58">
        <f t="shared" si="40"/>
        <v>0.9074084656</v>
      </c>
      <c r="H46" s="58">
        <f t="shared" si="41"/>
        <v>1.042892333</v>
      </c>
      <c r="I46" s="58">
        <f t="shared" si="42"/>
        <v>1.199448948</v>
      </c>
      <c r="J46" s="58">
        <f t="shared" si="43"/>
        <v>0.7755929631</v>
      </c>
      <c r="K46" s="58">
        <f t="shared" si="44"/>
        <v>3.925342709</v>
      </c>
      <c r="L46" s="58">
        <f t="shared" si="45"/>
        <v>0.4785350935</v>
      </c>
      <c r="M46" s="70">
        <f>RANK(L46,L45:L48)</f>
        <v>1</v>
      </c>
    </row>
    <row r="47" ht="15.75" customHeight="1">
      <c r="A47" s="50" t="s">
        <v>78</v>
      </c>
      <c r="B47" s="58">
        <f t="shared" si="36"/>
        <v>1.204260954</v>
      </c>
      <c r="C47" s="58">
        <f t="shared" si="37"/>
        <v>1.312464312</v>
      </c>
      <c r="D47" s="58">
        <f t="shared" si="38"/>
        <v>0.9999265405</v>
      </c>
      <c r="E47" s="58">
        <f t="shared" si="46"/>
        <v>1.312464312</v>
      </c>
      <c r="F47" s="58">
        <f t="shared" si="39"/>
        <v>4.829116119</v>
      </c>
      <c r="G47" s="58">
        <f t="shared" si="40"/>
        <v>0.7096321426</v>
      </c>
      <c r="H47" s="58">
        <f t="shared" si="41"/>
        <v>0.5476804499</v>
      </c>
      <c r="I47" s="58">
        <f t="shared" si="42"/>
        <v>0.9320632893</v>
      </c>
      <c r="J47" s="58">
        <f t="shared" si="43"/>
        <v>0.7848212818</v>
      </c>
      <c r="K47" s="58">
        <f t="shared" si="44"/>
        <v>2.974197164</v>
      </c>
      <c r="L47" s="58">
        <f t="shared" si="45"/>
        <v>0.3811454258</v>
      </c>
      <c r="M47" s="70">
        <f>RANK(L47,L45:L48)</f>
        <v>4</v>
      </c>
    </row>
    <row r="48" ht="15.75" customHeight="1">
      <c r="A48" s="50" t="s">
        <v>79</v>
      </c>
      <c r="B48" s="58">
        <f t="shared" si="36"/>
        <v>1.004951322</v>
      </c>
      <c r="C48" s="58">
        <f t="shared" si="37"/>
        <v>1.280110547</v>
      </c>
      <c r="D48" s="58">
        <f t="shared" si="38"/>
        <v>0.8184907822</v>
      </c>
      <c r="E48" s="58">
        <f t="shared" si="46"/>
        <v>1.280110547</v>
      </c>
      <c r="F48" s="58">
        <f t="shared" si="39"/>
        <v>4.383663199</v>
      </c>
      <c r="G48" s="58">
        <f t="shared" si="40"/>
        <v>0.9350783951</v>
      </c>
      <c r="H48" s="58">
        <f t="shared" si="41"/>
        <v>0.5672071484</v>
      </c>
      <c r="I48" s="58">
        <f t="shared" si="42"/>
        <v>1.116011969</v>
      </c>
      <c r="J48" s="58">
        <f t="shared" si="43"/>
        <v>0.8707262472</v>
      </c>
      <c r="K48" s="58">
        <f t="shared" si="44"/>
        <v>3.48902376</v>
      </c>
      <c r="L48" s="58">
        <f t="shared" si="45"/>
        <v>0.443180807</v>
      </c>
      <c r="M48" s="70">
        <f>RANK(L48,L45:L48)</f>
        <v>3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E26:G26"/>
    <mergeCell ref="H26:J26"/>
    <mergeCell ref="A34:A35"/>
    <mergeCell ref="B34:D34"/>
    <mergeCell ref="E34:G34"/>
    <mergeCell ref="H34:J34"/>
    <mergeCell ref="K34:M34"/>
    <mergeCell ref="A18:A19"/>
    <mergeCell ref="B18:D18"/>
    <mergeCell ref="E18:G18"/>
    <mergeCell ref="H18:J18"/>
    <mergeCell ref="K18:M18"/>
    <mergeCell ref="A26:A27"/>
    <mergeCell ref="B26:D26"/>
    <mergeCell ref="K26:M2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13.0"/>
    <col customWidth="1" min="6" max="6" width="14.0"/>
    <col customWidth="1" min="7" max="7" width="52.0"/>
    <col customWidth="1" min="8" max="8" width="3.0"/>
    <col customWidth="1" min="9" max="13" width="13.0"/>
    <col customWidth="1" min="14" max="15" width="14.0"/>
    <col customWidth="1" min="16" max="16" width="3.0"/>
    <col customWidth="1" min="17" max="21" width="13.0"/>
    <col customWidth="1" min="22" max="23" width="14.0"/>
    <col customWidth="1" min="24" max="26" width="8.63"/>
  </cols>
  <sheetData>
    <row r="1" ht="28.5" customHeight="1">
      <c r="A1" s="4" t="s">
        <v>2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ht="21.75" customHeight="1">
      <c r="A2" s="7" t="s">
        <v>4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ht="21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ht="24.75" customHeight="1">
      <c r="A4" s="10" t="s">
        <v>3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ht="21.75" customHeight="1">
      <c r="A5" s="15" t="s">
        <v>6</v>
      </c>
      <c r="B5" s="18" t="s">
        <v>9</v>
      </c>
      <c r="C5" s="20"/>
      <c r="D5" s="20"/>
      <c r="E5" s="21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ht="22.5" customHeight="1">
      <c r="A6" s="24" t="s">
        <v>14</v>
      </c>
      <c r="B6" s="26" t="s">
        <v>19</v>
      </c>
      <c r="C6" s="20"/>
      <c r="D6" s="20"/>
      <c r="E6" s="21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ht="22.5" customHeight="1">
      <c r="A7" s="24" t="s">
        <v>17</v>
      </c>
      <c r="B7" s="26" t="s">
        <v>18</v>
      </c>
      <c r="C7" s="20"/>
      <c r="D7" s="20"/>
      <c r="E7" s="21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ht="22.5" customHeight="1">
      <c r="A8" s="24" t="s">
        <v>20</v>
      </c>
      <c r="B8" s="26" t="s">
        <v>21</v>
      </c>
      <c r="C8" s="20"/>
      <c r="D8" s="20"/>
      <c r="E8" s="21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ht="22.5" customHeight="1">
      <c r="A9" s="24" t="s">
        <v>22</v>
      </c>
      <c r="B9" s="26" t="s">
        <v>24</v>
      </c>
      <c r="C9" s="20"/>
      <c r="D9" s="20"/>
      <c r="E9" s="21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ht="21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ht="24.75" customHeight="1">
      <c r="A11" s="10" t="s">
        <v>33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ht="21.75" customHeight="1">
      <c r="A12" s="15" t="s">
        <v>6</v>
      </c>
      <c r="B12" s="18" t="s">
        <v>7</v>
      </c>
      <c r="C12" s="20"/>
      <c r="D12" s="20"/>
      <c r="E12" s="21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ht="21.75" customHeight="1">
      <c r="A13" s="24" t="s">
        <v>39</v>
      </c>
      <c r="B13" s="26" t="s">
        <v>40</v>
      </c>
      <c r="C13" s="20"/>
      <c r="D13" s="20"/>
      <c r="E13" s="21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ht="21.75" customHeight="1">
      <c r="A14" s="24" t="s">
        <v>43</v>
      </c>
      <c r="B14" s="26" t="s">
        <v>44</v>
      </c>
      <c r="C14" s="20"/>
      <c r="D14" s="20"/>
      <c r="E14" s="21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ht="21.75" customHeight="1">
      <c r="A15" s="24" t="s">
        <v>47</v>
      </c>
      <c r="B15" s="26" t="s">
        <v>48</v>
      </c>
      <c r="C15" s="20"/>
      <c r="D15" s="20"/>
      <c r="E15" s="21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ht="21.75" customHeight="1">
      <c r="A16" s="24" t="s">
        <v>51</v>
      </c>
      <c r="B16" s="26" t="s">
        <v>52</v>
      </c>
      <c r="C16" s="20"/>
      <c r="D16" s="20"/>
      <c r="E16" s="21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ht="21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ht="24.75" customHeight="1">
      <c r="A18" s="10" t="s">
        <v>55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ht="24.0" customHeight="1">
      <c r="A19" s="53" t="s">
        <v>6</v>
      </c>
      <c r="B19" s="53" t="s">
        <v>39</v>
      </c>
      <c r="C19" s="53" t="s">
        <v>43</v>
      </c>
      <c r="D19" s="53" t="s">
        <v>47</v>
      </c>
      <c r="E19" s="53" t="s">
        <v>51</v>
      </c>
      <c r="F19" s="53" t="s">
        <v>62</v>
      </c>
      <c r="G19" s="53" t="s">
        <v>63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ht="21.75" customHeight="1">
      <c r="A20" s="55" t="s">
        <v>39</v>
      </c>
      <c r="B20" s="57">
        <f>1</f>
        <v>1</v>
      </c>
      <c r="C20" s="57">
        <f t="shared" ref="C20:E20" si="1">POWER(C84*K84*S84,1/3)</f>
        <v>0.4367902324</v>
      </c>
      <c r="D20" s="57">
        <f t="shared" si="1"/>
        <v>0.5</v>
      </c>
      <c r="E20" s="57">
        <f t="shared" si="1"/>
        <v>0.793700526</v>
      </c>
      <c r="F20" s="57">
        <f t="shared" ref="F20:F23" si="3">POWER(PRODUCT(B20:E20),1/4)</f>
        <v>0.645245371</v>
      </c>
      <c r="G20" s="57">
        <f t="shared" ref="G20:G23" si="4">F20/SUM($F$20:$F$23)</f>
        <v>0.1524966406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ht="21.75" customHeight="1">
      <c r="A21" s="55" t="s">
        <v>43</v>
      </c>
      <c r="B21" s="57">
        <f>1/C20</f>
        <v>2.289428485</v>
      </c>
      <c r="C21" s="57">
        <f>1</f>
        <v>1</v>
      </c>
      <c r="D21" s="57">
        <f t="shared" ref="D21:E21" si="2">POWER(D85*L85*T85,1/3)</f>
        <v>1.25992105</v>
      </c>
      <c r="E21" s="57">
        <f t="shared" si="2"/>
        <v>1.817120593</v>
      </c>
      <c r="F21" s="57">
        <f t="shared" si="3"/>
        <v>1.513085749</v>
      </c>
      <c r="G21" s="57">
        <f t="shared" si="4"/>
        <v>0.3576011609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ht="21.75" customHeight="1">
      <c r="A22" s="55" t="s">
        <v>47</v>
      </c>
      <c r="B22" s="57">
        <f>1/D20</f>
        <v>2</v>
      </c>
      <c r="C22" s="57">
        <f>1/D21</f>
        <v>0.793700526</v>
      </c>
      <c r="D22" s="57">
        <f>1</f>
        <v>1</v>
      </c>
      <c r="E22" s="57">
        <f>POWER(E86*M86*U86,1/3)</f>
        <v>1.587401052</v>
      </c>
      <c r="F22" s="57">
        <f t="shared" si="3"/>
        <v>1.25992105</v>
      </c>
      <c r="G22" s="57">
        <f t="shared" si="4"/>
        <v>0.297768471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ht="21.75" customHeight="1">
      <c r="A23" s="55" t="s">
        <v>51</v>
      </c>
      <c r="B23" s="57">
        <f>1/E20</f>
        <v>1.25992105</v>
      </c>
      <c r="C23" s="57">
        <f>1/E21</f>
        <v>0.5503212081</v>
      </c>
      <c r="D23" s="57">
        <f>1/E22</f>
        <v>0.6299605249</v>
      </c>
      <c r="E23" s="57">
        <f>1</f>
        <v>1</v>
      </c>
      <c r="F23" s="57">
        <f t="shared" si="3"/>
        <v>0.8129582253</v>
      </c>
      <c r="G23" s="57">
        <f t="shared" si="4"/>
        <v>0.1921337275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ht="21.75" customHeight="1">
      <c r="A24" s="67" t="s">
        <v>70</v>
      </c>
      <c r="B24" s="68">
        <f t="shared" ref="B24:G24" si="5">SUM(B20:B23)</f>
        <v>6.549349535</v>
      </c>
      <c r="C24" s="68">
        <f t="shared" si="5"/>
        <v>2.780811967</v>
      </c>
      <c r="D24" s="68">
        <f t="shared" si="5"/>
        <v>3.389881575</v>
      </c>
      <c r="E24" s="68">
        <f t="shared" si="5"/>
        <v>5.198222171</v>
      </c>
      <c r="F24" s="68">
        <f t="shared" si="5"/>
        <v>4.231210396</v>
      </c>
      <c r="G24" s="68">
        <f t="shared" si="5"/>
        <v>1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ht="21.75" customHeight="1">
      <c r="A25" s="67" t="s">
        <v>71</v>
      </c>
      <c r="B25" s="68">
        <f>G20</f>
        <v>0.1524966406</v>
      </c>
      <c r="C25" s="68">
        <f>G21</f>
        <v>0.3576011609</v>
      </c>
      <c r="D25" s="68">
        <f>G22</f>
        <v>0.297768471</v>
      </c>
      <c r="E25" s="68">
        <f>G23</f>
        <v>0.1921337275</v>
      </c>
      <c r="F25" s="68"/>
      <c r="G25" s="68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ht="21.75" customHeight="1">
      <c r="A26" s="55" t="s">
        <v>73</v>
      </c>
      <c r="B26" s="57">
        <f>SUMPRODUCT(B24:E24,B25:E25)</f>
        <v>4.001329045</v>
      </c>
      <c r="C26" s="57" t="s">
        <v>74</v>
      </c>
      <c r="D26" s="57">
        <f>(B26-4)/3</f>
        <v>0.0004430150708</v>
      </c>
      <c r="E26" s="57" t="s">
        <v>75</v>
      </c>
      <c r="F26" s="57">
        <f>D26/0.9</f>
        <v>0.0004922389676</v>
      </c>
      <c r="G26" s="57" t="str">
        <f>IF(F26&lt;=0.1,"OK","Проверить")</f>
        <v>OK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ht="21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ht="24.75" customHeight="1">
      <c r="A28" s="10" t="s">
        <v>77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 ht="24.0" customHeight="1">
      <c r="A29" s="53" t="s">
        <v>6</v>
      </c>
      <c r="B29" s="53" t="s">
        <v>14</v>
      </c>
      <c r="C29" s="53" t="s">
        <v>17</v>
      </c>
      <c r="D29" s="53" t="s">
        <v>20</v>
      </c>
      <c r="E29" s="53" t="s">
        <v>22</v>
      </c>
      <c r="F29" s="53" t="s">
        <v>62</v>
      </c>
      <c r="G29" s="53" t="s">
        <v>63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ht="21.75" customHeight="1">
      <c r="A30" s="55" t="s">
        <v>14</v>
      </c>
      <c r="B30" s="57">
        <f>1</f>
        <v>1</v>
      </c>
      <c r="C30" s="57">
        <f t="shared" ref="C30:E30" si="6">POWER(C94*K94*S94,1/3)</f>
        <v>1.25992105</v>
      </c>
      <c r="D30" s="57">
        <f t="shared" si="6"/>
        <v>2.620741394</v>
      </c>
      <c r="E30" s="57">
        <f t="shared" si="6"/>
        <v>1</v>
      </c>
      <c r="F30" s="57">
        <f t="shared" ref="F30:F33" si="8">POWER(PRODUCT(B30:E30),1/4)</f>
        <v>1.348006155</v>
      </c>
      <c r="G30" s="57">
        <f t="shared" ref="G30:G33" si="9">F30/SUM($F$30:$F$33)</f>
        <v>0.3129960511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ht="21.75" customHeight="1">
      <c r="A31" s="55" t="s">
        <v>17</v>
      </c>
      <c r="B31" s="57">
        <f>1/C30</f>
        <v>0.793700526</v>
      </c>
      <c r="C31" s="57">
        <f>1</f>
        <v>1</v>
      </c>
      <c r="D31" s="57">
        <f t="shared" ref="D31:E31" si="7">POWER(D95*L95*T95,1/3)</f>
        <v>2.620741394</v>
      </c>
      <c r="E31" s="57">
        <f t="shared" si="7"/>
        <v>1</v>
      </c>
      <c r="F31" s="57">
        <f t="shared" si="8"/>
        <v>1.200936955</v>
      </c>
      <c r="G31" s="57">
        <f t="shared" si="9"/>
        <v>0.2788477807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ht="21.75" customHeight="1">
      <c r="A32" s="55" t="s">
        <v>20</v>
      </c>
      <c r="B32" s="57">
        <f>1/D30</f>
        <v>0.3815714142</v>
      </c>
      <c r="C32" s="57">
        <f>1/D31</f>
        <v>0.3815714142</v>
      </c>
      <c r="D32" s="57">
        <f>1</f>
        <v>1</v>
      </c>
      <c r="E32" s="57">
        <f>POWER(E96*M96*U96,1/3)</f>
        <v>0.3815714142</v>
      </c>
      <c r="F32" s="57">
        <f t="shared" si="8"/>
        <v>0.4854917717</v>
      </c>
      <c r="G32" s="57">
        <f t="shared" si="9"/>
        <v>0.1127272356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ht="21.75" customHeight="1">
      <c r="A33" s="55" t="s">
        <v>22</v>
      </c>
      <c r="B33" s="57">
        <f>1/E30</f>
        <v>1</v>
      </c>
      <c r="C33" s="57">
        <f>1/E31</f>
        <v>1</v>
      </c>
      <c r="D33" s="57">
        <f>1/E32</f>
        <v>2.620741394</v>
      </c>
      <c r="E33" s="57">
        <f>1</f>
        <v>1</v>
      </c>
      <c r="F33" s="57">
        <f t="shared" si="8"/>
        <v>1.272348383</v>
      </c>
      <c r="G33" s="57">
        <f t="shared" si="9"/>
        <v>0.2954289326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 ht="21.75" customHeight="1">
      <c r="A34" s="67" t="s">
        <v>70</v>
      </c>
      <c r="B34" s="68">
        <f t="shared" ref="B34:G34" si="10">SUM(B30:B33)</f>
        <v>3.17527194</v>
      </c>
      <c r="C34" s="68">
        <f t="shared" si="10"/>
        <v>3.641492464</v>
      </c>
      <c r="D34" s="68">
        <f t="shared" si="10"/>
        <v>8.862224183</v>
      </c>
      <c r="E34" s="68">
        <f t="shared" si="10"/>
        <v>3.381571414</v>
      </c>
      <c r="F34" s="68">
        <f t="shared" si="10"/>
        <v>4.306783264</v>
      </c>
      <c r="G34" s="68">
        <f t="shared" si="10"/>
        <v>1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 ht="21.75" customHeight="1">
      <c r="A35" s="67" t="s">
        <v>71</v>
      </c>
      <c r="B35" s="68">
        <f>G30</f>
        <v>0.3129960511</v>
      </c>
      <c r="C35" s="68">
        <f>G31</f>
        <v>0.2788477807</v>
      </c>
      <c r="D35" s="68">
        <f>G32</f>
        <v>0.1127272356</v>
      </c>
      <c r="E35" s="68">
        <f>G33</f>
        <v>0.2954289326</v>
      </c>
      <c r="F35" s="68"/>
      <c r="G35" s="68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 ht="21.75" customHeight="1">
      <c r="A36" s="55" t="s">
        <v>73</v>
      </c>
      <c r="B36" s="57">
        <f>SUMPRODUCT(B34:E34,B35:E35)</f>
        <v>4.007297737</v>
      </c>
      <c r="C36" s="57" t="s">
        <v>74</v>
      </c>
      <c r="D36" s="57">
        <f>(B36-4)/3</f>
        <v>0.002432579094</v>
      </c>
      <c r="E36" s="57" t="s">
        <v>75</v>
      </c>
      <c r="F36" s="57">
        <f>D36/0.9</f>
        <v>0.00270286566</v>
      </c>
      <c r="G36" s="57" t="str">
        <f>IF(F36&lt;=0.1,"OK","Проверить")</f>
        <v>OK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 ht="21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 ht="24.75" customHeight="1">
      <c r="A38" s="10" t="s">
        <v>80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ht="24.0" customHeight="1">
      <c r="A39" s="53" t="s">
        <v>6</v>
      </c>
      <c r="B39" s="53" t="s">
        <v>14</v>
      </c>
      <c r="C39" s="53" t="s">
        <v>17</v>
      </c>
      <c r="D39" s="53" t="s">
        <v>20</v>
      </c>
      <c r="E39" s="53" t="s">
        <v>22</v>
      </c>
      <c r="F39" s="53" t="s">
        <v>62</v>
      </c>
      <c r="G39" s="53" t="s">
        <v>63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ht="21.75" customHeight="1">
      <c r="A40" s="55" t="s">
        <v>14</v>
      </c>
      <c r="B40" s="57">
        <f>1</f>
        <v>1</v>
      </c>
      <c r="C40" s="57">
        <f t="shared" ref="C40:E40" si="11">POWER(C104*K104*S104,1/3)</f>
        <v>2</v>
      </c>
      <c r="D40" s="57">
        <f t="shared" si="11"/>
        <v>4.641588834</v>
      </c>
      <c r="E40" s="57">
        <f t="shared" si="11"/>
        <v>2</v>
      </c>
      <c r="F40" s="57">
        <f t="shared" ref="F40:F43" si="13">POWER(PRODUCT(B40:E40),1/4)</f>
        <v>2.075781631</v>
      </c>
      <c r="G40" s="57">
        <f t="shared" ref="G40:G43" si="14">F40/SUM($F$40:$F$43)</f>
        <v>0.4477090618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 ht="21.75" customHeight="1">
      <c r="A41" s="55" t="s">
        <v>17</v>
      </c>
      <c r="B41" s="57">
        <f>1/C40</f>
        <v>0.5</v>
      </c>
      <c r="C41" s="57">
        <f>1</f>
        <v>1</v>
      </c>
      <c r="D41" s="57">
        <f t="shared" ref="D41:E41" si="12">POWER(D105*L105*T105,1/3)</f>
        <v>2.620741394</v>
      </c>
      <c r="E41" s="57">
        <f t="shared" si="12"/>
        <v>1</v>
      </c>
      <c r="F41" s="57">
        <f t="shared" si="13"/>
        <v>1.069913194</v>
      </c>
      <c r="G41" s="57">
        <f t="shared" si="14"/>
        <v>0.2307611866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ht="21.75" customHeight="1">
      <c r="A42" s="55" t="s">
        <v>20</v>
      </c>
      <c r="B42" s="57">
        <f>1/D40</f>
        <v>0.215443469</v>
      </c>
      <c r="C42" s="57">
        <f>1/D41</f>
        <v>0.3815714142</v>
      </c>
      <c r="D42" s="57">
        <f>1</f>
        <v>1</v>
      </c>
      <c r="E42" s="57">
        <f>POWER(E106*M106*U106,1/3)</f>
        <v>0.3815714142</v>
      </c>
      <c r="F42" s="57">
        <f t="shared" si="13"/>
        <v>0.420844106</v>
      </c>
      <c r="G42" s="57">
        <f t="shared" si="14"/>
        <v>0.09076856498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ht="21.75" customHeight="1">
      <c r="A43" s="55" t="s">
        <v>22</v>
      </c>
      <c r="B43" s="57">
        <f>1/E40</f>
        <v>0.5</v>
      </c>
      <c r="C43" s="57">
        <f>1/E41</f>
        <v>1</v>
      </c>
      <c r="D43" s="57">
        <f>1/E42</f>
        <v>2.620741394</v>
      </c>
      <c r="E43" s="57">
        <f>1</f>
        <v>1</v>
      </c>
      <c r="F43" s="57">
        <f t="shared" si="13"/>
        <v>1.069913194</v>
      </c>
      <c r="G43" s="57">
        <f t="shared" si="14"/>
        <v>0.2307611866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 ht="21.75" customHeight="1">
      <c r="A44" s="67" t="s">
        <v>70</v>
      </c>
      <c r="B44" s="68">
        <f t="shared" ref="B44:G44" si="15">SUM(B40:B43)</f>
        <v>2.215443469</v>
      </c>
      <c r="C44" s="68">
        <f t="shared" si="15"/>
        <v>4.381571414</v>
      </c>
      <c r="D44" s="68">
        <f t="shared" si="15"/>
        <v>10.88307162</v>
      </c>
      <c r="E44" s="68">
        <f t="shared" si="15"/>
        <v>4.381571414</v>
      </c>
      <c r="F44" s="68">
        <f t="shared" si="15"/>
        <v>4.636452125</v>
      </c>
      <c r="G44" s="68">
        <f t="shared" si="15"/>
        <v>1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 ht="21.75" customHeight="1">
      <c r="A45" s="67" t="s">
        <v>71</v>
      </c>
      <c r="B45" s="68">
        <f>G40</f>
        <v>0.4477090618</v>
      </c>
      <c r="C45" s="68">
        <f>G41</f>
        <v>0.2307611866</v>
      </c>
      <c r="D45" s="68">
        <f>G42</f>
        <v>0.09076856498</v>
      </c>
      <c r="E45" s="68">
        <f>G43</f>
        <v>0.2307611866</v>
      </c>
      <c r="F45" s="68"/>
      <c r="G45" s="68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 ht="21.75" customHeight="1">
      <c r="A46" s="55" t="s">
        <v>73</v>
      </c>
      <c r="B46" s="57">
        <f>SUMPRODUCT(B44:E44,B45:E45)</f>
        <v>4.001908148</v>
      </c>
      <c r="C46" s="57" t="s">
        <v>74</v>
      </c>
      <c r="D46" s="57">
        <f>(B46-4)/3</f>
        <v>0.0006360493664</v>
      </c>
      <c r="E46" s="57" t="s">
        <v>75</v>
      </c>
      <c r="F46" s="57">
        <f>D46/0.9</f>
        <v>0.0007067215183</v>
      </c>
      <c r="G46" s="57" t="str">
        <f>IF(F46&lt;=0.1,"OK","Проверить")</f>
        <v>OK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 ht="21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 ht="24.75" customHeight="1">
      <c r="A48" s="10" t="s">
        <v>82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 ht="24.0" customHeight="1">
      <c r="A49" s="53" t="s">
        <v>6</v>
      </c>
      <c r="B49" s="53" t="s">
        <v>14</v>
      </c>
      <c r="C49" s="53" t="s">
        <v>17</v>
      </c>
      <c r="D49" s="53" t="s">
        <v>20</v>
      </c>
      <c r="E49" s="53" t="s">
        <v>22</v>
      </c>
      <c r="F49" s="53" t="s">
        <v>62</v>
      </c>
      <c r="G49" s="53" t="s">
        <v>63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 ht="21.75" customHeight="1">
      <c r="A50" s="55" t="s">
        <v>14</v>
      </c>
      <c r="B50" s="57">
        <f>1</f>
        <v>1</v>
      </c>
      <c r="C50" s="57">
        <f t="shared" ref="C50:E50" si="16">POWER(C114*K114*S114,1/3)</f>
        <v>0.5</v>
      </c>
      <c r="D50" s="57">
        <f t="shared" si="16"/>
        <v>3</v>
      </c>
      <c r="E50" s="57">
        <f t="shared" si="16"/>
        <v>1</v>
      </c>
      <c r="F50" s="57">
        <f t="shared" ref="F50:F53" si="18">POWER(PRODUCT(B50:E50),1/4)</f>
        <v>1.10668192</v>
      </c>
      <c r="G50" s="57">
        <f t="shared" ref="G50:G53" si="19">F50/SUM($F$50:$F$53)</f>
        <v>0.2466395419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 ht="21.75" customHeight="1">
      <c r="A51" s="55" t="s">
        <v>17</v>
      </c>
      <c r="B51" s="57">
        <f>1/C50</f>
        <v>2</v>
      </c>
      <c r="C51" s="57">
        <f>1</f>
        <v>1</v>
      </c>
      <c r="D51" s="57">
        <f t="shared" ref="D51:E51" si="17">POWER(D115*L115*T115,1/3)</f>
        <v>3.301927249</v>
      </c>
      <c r="E51" s="57">
        <f t="shared" si="17"/>
        <v>2</v>
      </c>
      <c r="F51" s="57">
        <f t="shared" si="18"/>
        <v>1.906368586</v>
      </c>
      <c r="G51" s="57">
        <f t="shared" si="19"/>
        <v>0.4248608984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 ht="21.75" customHeight="1">
      <c r="A52" s="55" t="s">
        <v>20</v>
      </c>
      <c r="B52" s="57">
        <f>1/D50</f>
        <v>0.3333333333</v>
      </c>
      <c r="C52" s="57">
        <f>1/D51</f>
        <v>0.3028534321</v>
      </c>
      <c r="D52" s="57">
        <f>1</f>
        <v>1</v>
      </c>
      <c r="E52" s="57">
        <f>POWER(E116*M116*U116,1/3)</f>
        <v>0.5</v>
      </c>
      <c r="F52" s="57">
        <f t="shared" si="18"/>
        <v>0.4739912367</v>
      </c>
      <c r="G52" s="57">
        <f t="shared" si="19"/>
        <v>0.1056355755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 ht="21.75" customHeight="1">
      <c r="A53" s="55" t="s">
        <v>22</v>
      </c>
      <c r="B53" s="57">
        <f>1/E50</f>
        <v>1</v>
      </c>
      <c r="C53" s="57">
        <f>1/E51</f>
        <v>0.5</v>
      </c>
      <c r="D53" s="57">
        <f>1/E52</f>
        <v>2</v>
      </c>
      <c r="E53" s="57">
        <f>1</f>
        <v>1</v>
      </c>
      <c r="F53" s="57">
        <f t="shared" si="18"/>
        <v>1</v>
      </c>
      <c r="G53" s="57">
        <f t="shared" si="19"/>
        <v>0.2228639842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 ht="21.75" customHeight="1">
      <c r="A54" s="67" t="s">
        <v>70</v>
      </c>
      <c r="B54" s="68">
        <f t="shared" ref="B54:G54" si="20">SUM(B50:B53)</f>
        <v>4.333333333</v>
      </c>
      <c r="C54" s="68">
        <f t="shared" si="20"/>
        <v>2.302853432</v>
      </c>
      <c r="D54" s="68">
        <f t="shared" si="20"/>
        <v>9.301927249</v>
      </c>
      <c r="E54" s="68">
        <f t="shared" si="20"/>
        <v>4.5</v>
      </c>
      <c r="F54" s="68">
        <f t="shared" si="20"/>
        <v>4.487041742</v>
      </c>
      <c r="G54" s="68">
        <f t="shared" si="20"/>
        <v>1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 ht="21.75" customHeight="1">
      <c r="A55" s="67" t="s">
        <v>71</v>
      </c>
      <c r="B55" s="68">
        <f>G50</f>
        <v>0.2466395419</v>
      </c>
      <c r="C55" s="68">
        <f>G51</f>
        <v>0.4248608984</v>
      </c>
      <c r="D55" s="68">
        <f>G52</f>
        <v>0.1056355755</v>
      </c>
      <c r="E55" s="68">
        <f>G53</f>
        <v>0.2228639842</v>
      </c>
      <c r="F55" s="68"/>
      <c r="G55" s="68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 ht="21.75" customHeight="1">
      <c r="A56" s="55" t="s">
        <v>73</v>
      </c>
      <c r="B56" s="57">
        <f>SUMPRODUCT(B54:E54,B55:E55)</f>
        <v>4.032666093</v>
      </c>
      <c r="C56" s="57" t="s">
        <v>74</v>
      </c>
      <c r="D56" s="57">
        <f>(B56-4)/3</f>
        <v>0.01088869774</v>
      </c>
      <c r="E56" s="57" t="s">
        <v>75</v>
      </c>
      <c r="F56" s="57">
        <f>D56/0.9</f>
        <v>0.01209855304</v>
      </c>
      <c r="G56" s="57" t="str">
        <f>IF(F56&lt;=0.1,"OK","Проверить")</f>
        <v>OK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 ht="21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 ht="24.75" customHeight="1">
      <c r="A58" s="10" t="s">
        <v>99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 ht="24.0" customHeight="1">
      <c r="A59" s="53" t="s">
        <v>6</v>
      </c>
      <c r="B59" s="53" t="s">
        <v>14</v>
      </c>
      <c r="C59" s="53" t="s">
        <v>17</v>
      </c>
      <c r="D59" s="53" t="s">
        <v>20</v>
      </c>
      <c r="E59" s="53" t="s">
        <v>22</v>
      </c>
      <c r="F59" s="53" t="s">
        <v>62</v>
      </c>
      <c r="G59" s="53" t="s">
        <v>63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 ht="21.75" customHeight="1">
      <c r="A60" s="55" t="s">
        <v>14</v>
      </c>
      <c r="B60" s="57">
        <f>1</f>
        <v>1</v>
      </c>
      <c r="C60" s="57">
        <f t="shared" ref="C60:E60" si="21">POWER(C124*K124*S124,1/3)</f>
        <v>0.3815714142</v>
      </c>
      <c r="D60" s="57">
        <f t="shared" si="21"/>
        <v>0.5</v>
      </c>
      <c r="E60" s="57">
        <f t="shared" si="21"/>
        <v>0.3333333333</v>
      </c>
      <c r="F60" s="57">
        <f t="shared" ref="F60:F63" si="23">POWER(PRODUCT(B60:E60),1/4)</f>
        <v>0.5021762223</v>
      </c>
      <c r="G60" s="57">
        <f t="shared" ref="G60:G63" si="24">F60/SUM($F$60:$F$63)</f>
        <v>0.1159402605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 ht="21.75" customHeight="1">
      <c r="A61" s="55" t="s">
        <v>17</v>
      </c>
      <c r="B61" s="57">
        <f>1/C60</f>
        <v>2.620741394</v>
      </c>
      <c r="C61" s="57">
        <f>1</f>
        <v>1</v>
      </c>
      <c r="D61" s="57">
        <f t="shared" ref="D61:E61" si="22">POWER(D125*L125*T125,1/3)</f>
        <v>2</v>
      </c>
      <c r="E61" s="57">
        <f t="shared" si="22"/>
        <v>1</v>
      </c>
      <c r="F61" s="57">
        <f t="shared" si="23"/>
        <v>1.513085749</v>
      </c>
      <c r="G61" s="57">
        <f t="shared" si="24"/>
        <v>0.3493346521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 ht="21.75" customHeight="1">
      <c r="A62" s="55" t="s">
        <v>20</v>
      </c>
      <c r="B62" s="57">
        <f>1/D60</f>
        <v>2</v>
      </c>
      <c r="C62" s="57">
        <f>1/D61</f>
        <v>0.5</v>
      </c>
      <c r="D62" s="57">
        <f>1</f>
        <v>1</v>
      </c>
      <c r="E62" s="57">
        <f>POWER(E126*M126*U126,1/3)</f>
        <v>1</v>
      </c>
      <c r="F62" s="57">
        <f t="shared" si="23"/>
        <v>1</v>
      </c>
      <c r="G62" s="57">
        <f t="shared" si="24"/>
        <v>0.2308756475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 ht="21.75" customHeight="1">
      <c r="A63" s="55" t="s">
        <v>22</v>
      </c>
      <c r="B63" s="57">
        <f>1/E60</f>
        <v>3</v>
      </c>
      <c r="C63" s="57">
        <f>1/E61</f>
        <v>1</v>
      </c>
      <c r="D63" s="57">
        <f>1/E62</f>
        <v>1</v>
      </c>
      <c r="E63" s="57">
        <f>1</f>
        <v>1</v>
      </c>
      <c r="F63" s="57">
        <f t="shared" si="23"/>
        <v>1.316074013</v>
      </c>
      <c r="G63" s="57">
        <f t="shared" si="24"/>
        <v>0.3038494399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 ht="21.75" customHeight="1">
      <c r="A64" s="67" t="s">
        <v>70</v>
      </c>
      <c r="B64" s="68">
        <f t="shared" ref="B64:G64" si="25">SUM(B60:B63)</f>
        <v>8.620741394</v>
      </c>
      <c r="C64" s="68">
        <f t="shared" si="25"/>
        <v>2.881571414</v>
      </c>
      <c r="D64" s="68">
        <f t="shared" si="25"/>
        <v>4.5</v>
      </c>
      <c r="E64" s="68">
        <f t="shared" si="25"/>
        <v>3.333333333</v>
      </c>
      <c r="F64" s="68">
        <f t="shared" si="25"/>
        <v>4.331335985</v>
      </c>
      <c r="G64" s="68">
        <f t="shared" si="25"/>
        <v>1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 ht="21.75" customHeight="1">
      <c r="A65" s="67" t="s">
        <v>71</v>
      </c>
      <c r="B65" s="68">
        <f>G60</f>
        <v>0.1159402605</v>
      </c>
      <c r="C65" s="68">
        <f>G61</f>
        <v>0.3493346521</v>
      </c>
      <c r="D65" s="68">
        <f>G62</f>
        <v>0.2308756475</v>
      </c>
      <c r="E65" s="68">
        <f>G63</f>
        <v>0.3038494399</v>
      </c>
      <c r="F65" s="68"/>
      <c r="G65" s="68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 ht="21.75" customHeight="1">
      <c r="A66" s="55" t="s">
        <v>73</v>
      </c>
      <c r="B66" s="57">
        <f>SUMPRODUCT(B64:E64,B65:E65)</f>
        <v>4.05789563</v>
      </c>
      <c r="C66" s="57" t="s">
        <v>74</v>
      </c>
      <c r="D66" s="57">
        <f>(B66-4)/3</f>
        <v>0.01929854347</v>
      </c>
      <c r="E66" s="57" t="s">
        <v>75</v>
      </c>
      <c r="F66" s="57">
        <f>D66/0.9</f>
        <v>0.02144282607</v>
      </c>
      <c r="G66" s="57" t="str">
        <f>IF(F66&lt;=0.1,"OK","Проверить")</f>
        <v>OK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 ht="21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 ht="24.75" customHeight="1">
      <c r="A68" s="10" t="s">
        <v>100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 ht="24.0" customHeight="1">
      <c r="A69" s="53" t="s">
        <v>6</v>
      </c>
      <c r="B69" s="53" t="s">
        <v>39</v>
      </c>
      <c r="C69" s="53" t="s">
        <v>43</v>
      </c>
      <c r="D69" s="53" t="s">
        <v>47</v>
      </c>
      <c r="E69" s="53" t="s">
        <v>51</v>
      </c>
      <c r="F69" s="53" t="s">
        <v>63</v>
      </c>
      <c r="G69" s="53" t="s">
        <v>101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 ht="21.75" customHeight="1">
      <c r="A70" s="71" t="s">
        <v>102</v>
      </c>
      <c r="B70" s="72">
        <f>G20</f>
        <v>0.1524966406</v>
      </c>
      <c r="C70" s="72">
        <f>G21</f>
        <v>0.3576011609</v>
      </c>
      <c r="D70" s="72">
        <f>G22</f>
        <v>0.297768471</v>
      </c>
      <c r="E70" s="72">
        <f>G23</f>
        <v>0.1921337275</v>
      </c>
      <c r="F70" s="72"/>
      <c r="G70" s="71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 ht="21.75" customHeight="1">
      <c r="A71" s="24" t="s">
        <v>14</v>
      </c>
      <c r="B71" s="73">
        <f t="shared" ref="B71:B74" si="26">G30</f>
        <v>0.3129960511</v>
      </c>
      <c r="C71" s="73">
        <f t="shared" ref="C71:C74" si="27">G40</f>
        <v>0.4477090618</v>
      </c>
      <c r="D71" s="73">
        <f t="shared" ref="D71:D74" si="28">G50</f>
        <v>0.2466395419</v>
      </c>
      <c r="E71" s="73">
        <f t="shared" ref="E71:E74" si="29">G60</f>
        <v>0.1159402605</v>
      </c>
      <c r="F71" s="73">
        <f t="shared" ref="F71:F74" si="30">SUMPRODUCT($B$70:$E$70,B71:E71)</f>
        <v>0.3035496402</v>
      </c>
      <c r="G71" s="24">
        <f t="shared" ref="G71:G74" si="31">RANK(F71,$F$71:$F$74,0)</f>
        <v>2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 ht="21.75" customHeight="1">
      <c r="A72" s="24" t="s">
        <v>17</v>
      </c>
      <c r="B72" s="73">
        <f t="shared" si="26"/>
        <v>0.2788477807</v>
      </c>
      <c r="C72" s="73">
        <f t="shared" si="27"/>
        <v>0.2307611866</v>
      </c>
      <c r="D72" s="73">
        <f t="shared" si="28"/>
        <v>0.4248608984</v>
      </c>
      <c r="E72" s="73">
        <f t="shared" si="29"/>
        <v>0.3493346521</v>
      </c>
      <c r="F72" s="73">
        <f t="shared" si="30"/>
        <v>0.318672967</v>
      </c>
      <c r="G72" s="24">
        <f t="shared" si="31"/>
        <v>1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 ht="21.75" customHeight="1">
      <c r="A73" s="24" t="s">
        <v>20</v>
      </c>
      <c r="B73" s="73">
        <f t="shared" si="26"/>
        <v>0.1127272356</v>
      </c>
      <c r="C73" s="73">
        <f t="shared" si="27"/>
        <v>0.09076856498</v>
      </c>
      <c r="D73" s="73">
        <f t="shared" si="28"/>
        <v>0.1056355755</v>
      </c>
      <c r="E73" s="73">
        <f t="shared" si="29"/>
        <v>0.2308756475</v>
      </c>
      <c r="F73" s="73">
        <f t="shared" si="30"/>
        <v>0.1254634115</v>
      </c>
      <c r="G73" s="24">
        <f t="shared" si="31"/>
        <v>4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</row>
    <row r="74" ht="21.75" customHeight="1">
      <c r="A74" s="24" t="s">
        <v>22</v>
      </c>
      <c r="B74" s="73">
        <f t="shared" si="26"/>
        <v>0.2954289326</v>
      </c>
      <c r="C74" s="73">
        <f t="shared" si="27"/>
        <v>0.2307611866</v>
      </c>
      <c r="D74" s="73">
        <f t="shared" si="28"/>
        <v>0.2228639842</v>
      </c>
      <c r="E74" s="73">
        <f t="shared" si="29"/>
        <v>0.3038494399</v>
      </c>
      <c r="F74" s="73">
        <f t="shared" si="30"/>
        <v>0.2523139813</v>
      </c>
      <c r="G74" s="24">
        <f t="shared" si="31"/>
        <v>3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 ht="21.75" customHeight="1">
      <c r="A75" s="24" t="s">
        <v>70</v>
      </c>
      <c r="B75" s="73"/>
      <c r="C75" s="73"/>
      <c r="D75" s="73"/>
      <c r="E75" s="73"/>
      <c r="F75" s="73">
        <f>SUM(F71:F74)</f>
        <v>1</v>
      </c>
      <c r="G75" s="24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 ht="21.75" customHeight="1">
      <c r="A76" s="24" t="s">
        <v>103</v>
      </c>
      <c r="B76" s="24" t="str">
        <f t="array" ref="B76">INDEX(A71:A74,MATCH(MAX(F71:F74),F71:F74,0))</f>
        <v>A2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 ht="21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 ht="21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 ht="24.75" customHeight="1">
      <c r="A79" s="10" t="s">
        <v>104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 ht="21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 ht="24.75" customHeight="1">
      <c r="A81" s="10" t="s">
        <v>32</v>
      </c>
      <c r="H81" s="6"/>
      <c r="I81" s="74" t="s">
        <v>34</v>
      </c>
      <c r="P81" s="6"/>
      <c r="Q81" s="74" t="s">
        <v>36</v>
      </c>
    </row>
    <row r="82" ht="24.75" customHeight="1">
      <c r="A82" s="10" t="s">
        <v>57</v>
      </c>
      <c r="H82" s="6"/>
      <c r="I82" s="10" t="s">
        <v>57</v>
      </c>
      <c r="P82" s="6"/>
      <c r="Q82" s="10" t="s">
        <v>57</v>
      </c>
    </row>
    <row r="83" ht="24.0" customHeight="1">
      <c r="A83" s="53" t="s">
        <v>6</v>
      </c>
      <c r="B83" s="53" t="s">
        <v>39</v>
      </c>
      <c r="C83" s="53" t="s">
        <v>43</v>
      </c>
      <c r="D83" s="53" t="s">
        <v>47</v>
      </c>
      <c r="E83" s="53" t="s">
        <v>51</v>
      </c>
      <c r="F83" s="53" t="s">
        <v>62</v>
      </c>
      <c r="G83" s="53" t="s">
        <v>63</v>
      </c>
      <c r="H83" s="6"/>
      <c r="I83" s="53" t="s">
        <v>6</v>
      </c>
      <c r="J83" s="53" t="s">
        <v>39</v>
      </c>
      <c r="K83" s="53" t="s">
        <v>43</v>
      </c>
      <c r="L83" s="53" t="s">
        <v>47</v>
      </c>
      <c r="M83" s="53" t="s">
        <v>51</v>
      </c>
      <c r="N83" s="53" t="s">
        <v>62</v>
      </c>
      <c r="O83" s="53" t="s">
        <v>63</v>
      </c>
      <c r="P83" s="6"/>
      <c r="Q83" s="53" t="s">
        <v>6</v>
      </c>
      <c r="R83" s="53" t="s">
        <v>39</v>
      </c>
      <c r="S83" s="53" t="s">
        <v>43</v>
      </c>
      <c r="T83" s="53" t="s">
        <v>47</v>
      </c>
      <c r="U83" s="53" t="s">
        <v>51</v>
      </c>
      <c r="V83" s="53" t="s">
        <v>62</v>
      </c>
      <c r="W83" s="53" t="s">
        <v>63</v>
      </c>
    </row>
    <row r="84" ht="21.75" customHeight="1">
      <c r="A84" s="55" t="s">
        <v>39</v>
      </c>
      <c r="B84" s="57">
        <f>1</f>
        <v>1</v>
      </c>
      <c r="C84" s="75">
        <f t="shared" ref="C84:E84" si="32">1/2</f>
        <v>0.5</v>
      </c>
      <c r="D84" s="75">
        <f t="shared" si="32"/>
        <v>0.5</v>
      </c>
      <c r="E84" s="75">
        <f t="shared" si="32"/>
        <v>0.5</v>
      </c>
      <c r="F84" s="57">
        <f t="shared" ref="F84:F87" si="35">POWER(PRODUCT(B84:E84),1/4)</f>
        <v>0.5946035575</v>
      </c>
      <c r="G84" s="57">
        <f t="shared" ref="G84:G87" si="36">F84/SUM($F$84:$F$87)</f>
        <v>0.1428571429</v>
      </c>
      <c r="H84" s="6"/>
      <c r="I84" s="55" t="s">
        <v>39</v>
      </c>
      <c r="J84" s="57">
        <f>1</f>
        <v>1</v>
      </c>
      <c r="K84" s="75">
        <f>1/3</f>
        <v>0.3333333333</v>
      </c>
      <c r="L84" s="75">
        <f>1/2</f>
        <v>0.5</v>
      </c>
      <c r="M84" s="75">
        <f>1</f>
        <v>1</v>
      </c>
      <c r="N84" s="57">
        <f t="shared" ref="N84:N87" si="37">POWER(PRODUCT(J84:M84),1/4)</f>
        <v>0.6389431042</v>
      </c>
      <c r="O84" s="57">
        <f t="shared" ref="O84:O87" si="38">N84/SUM($N$84:$N$87)</f>
        <v>0.1411448638</v>
      </c>
      <c r="P84" s="6"/>
      <c r="Q84" s="55" t="s">
        <v>39</v>
      </c>
      <c r="R84" s="57">
        <f>1</f>
        <v>1</v>
      </c>
      <c r="S84" s="75">
        <f t="shared" ref="S84:T84" si="33">1/2</f>
        <v>0.5</v>
      </c>
      <c r="T84" s="75">
        <f t="shared" si="33"/>
        <v>0.5</v>
      </c>
      <c r="U84" s="75">
        <f>1</f>
        <v>1</v>
      </c>
      <c r="V84" s="57">
        <f t="shared" ref="V84:V87" si="40">POWER(PRODUCT(R84:U84),1/4)</f>
        <v>0.7071067812</v>
      </c>
      <c r="W84" s="57">
        <f t="shared" ref="W84:W87" si="41">V84/SUM($V$84:$V$87)</f>
        <v>0.1666666667</v>
      </c>
    </row>
    <row r="85" ht="21.75" customHeight="1">
      <c r="A85" s="55" t="s">
        <v>43</v>
      </c>
      <c r="B85" s="57">
        <f>1/C84</f>
        <v>2</v>
      </c>
      <c r="C85" s="57">
        <f t="shared" ref="C85:E85" si="34">1</f>
        <v>1</v>
      </c>
      <c r="D85" s="75">
        <f t="shared" si="34"/>
        <v>1</v>
      </c>
      <c r="E85" s="75">
        <f t="shared" si="34"/>
        <v>1</v>
      </c>
      <c r="F85" s="57">
        <f t="shared" si="35"/>
        <v>1.189207115</v>
      </c>
      <c r="G85" s="57">
        <f t="shared" si="36"/>
        <v>0.2857142857</v>
      </c>
      <c r="H85" s="6"/>
      <c r="I85" s="55" t="s">
        <v>43</v>
      </c>
      <c r="J85" s="57">
        <f>1/K84</f>
        <v>3</v>
      </c>
      <c r="K85" s="57">
        <f>1</f>
        <v>1</v>
      </c>
      <c r="L85" s="75">
        <f>2</f>
        <v>2</v>
      </c>
      <c r="M85" s="75">
        <f>3</f>
        <v>3</v>
      </c>
      <c r="N85" s="57">
        <f t="shared" si="37"/>
        <v>2.059767144</v>
      </c>
      <c r="O85" s="57">
        <f t="shared" si="38"/>
        <v>0.4550100801</v>
      </c>
      <c r="P85" s="6"/>
      <c r="Q85" s="55" t="s">
        <v>43</v>
      </c>
      <c r="R85" s="57">
        <f>1/S84</f>
        <v>2</v>
      </c>
      <c r="S85" s="57">
        <f t="shared" ref="S85:T85" si="39">1</f>
        <v>1</v>
      </c>
      <c r="T85" s="75">
        <f t="shared" si="39"/>
        <v>1</v>
      </c>
      <c r="U85" s="75">
        <f t="shared" ref="U85:U86" si="43">2</f>
        <v>2</v>
      </c>
      <c r="V85" s="57">
        <f t="shared" si="40"/>
        <v>1.414213562</v>
      </c>
      <c r="W85" s="57">
        <f t="shared" si="41"/>
        <v>0.3333333333</v>
      </c>
    </row>
    <row r="86" ht="21.75" customHeight="1">
      <c r="A86" s="55" t="s">
        <v>47</v>
      </c>
      <c r="B86" s="57">
        <f>1/D84</f>
        <v>2</v>
      </c>
      <c r="C86" s="57">
        <f>1/D85</f>
        <v>1</v>
      </c>
      <c r="D86" s="57">
        <f t="shared" ref="D86:E86" si="42">1</f>
        <v>1</v>
      </c>
      <c r="E86" s="75">
        <f t="shared" si="42"/>
        <v>1</v>
      </c>
      <c r="F86" s="57">
        <f t="shared" si="35"/>
        <v>1.189207115</v>
      </c>
      <c r="G86" s="57">
        <f t="shared" si="36"/>
        <v>0.2857142857</v>
      </c>
      <c r="H86" s="6"/>
      <c r="I86" s="55" t="s">
        <v>47</v>
      </c>
      <c r="J86" s="57">
        <f>1/L84</f>
        <v>2</v>
      </c>
      <c r="K86" s="57">
        <f>1/L85</f>
        <v>0.5</v>
      </c>
      <c r="L86" s="57">
        <f>1</f>
        <v>1</v>
      </c>
      <c r="M86" s="75">
        <f>2</f>
        <v>2</v>
      </c>
      <c r="N86" s="57">
        <f t="shared" si="37"/>
        <v>1.189207115</v>
      </c>
      <c r="O86" s="57">
        <f t="shared" si="38"/>
        <v>0.2627001922</v>
      </c>
      <c r="P86" s="6"/>
      <c r="Q86" s="55" t="s">
        <v>47</v>
      </c>
      <c r="R86" s="57">
        <f>1/T84</f>
        <v>2</v>
      </c>
      <c r="S86" s="57">
        <f>1/T85</f>
        <v>1</v>
      </c>
      <c r="T86" s="57">
        <f>1</f>
        <v>1</v>
      </c>
      <c r="U86" s="75">
        <f t="shared" si="43"/>
        <v>2</v>
      </c>
      <c r="V86" s="57">
        <f t="shared" si="40"/>
        <v>1.414213562</v>
      </c>
      <c r="W86" s="57">
        <f t="shared" si="41"/>
        <v>0.3333333333</v>
      </c>
    </row>
    <row r="87" ht="21.75" customHeight="1">
      <c r="A87" s="55" t="s">
        <v>51</v>
      </c>
      <c r="B87" s="57">
        <f>1/E84</f>
        <v>2</v>
      </c>
      <c r="C87" s="57">
        <f>1/E85</f>
        <v>1</v>
      </c>
      <c r="D87" s="57">
        <f>1/E86</f>
        <v>1</v>
      </c>
      <c r="E87" s="57">
        <f>1</f>
        <v>1</v>
      </c>
      <c r="F87" s="57">
        <f t="shared" si="35"/>
        <v>1.189207115</v>
      </c>
      <c r="G87" s="57">
        <f t="shared" si="36"/>
        <v>0.2857142857</v>
      </c>
      <c r="H87" s="6"/>
      <c r="I87" s="55" t="s">
        <v>51</v>
      </c>
      <c r="J87" s="57">
        <f>1/M84</f>
        <v>1</v>
      </c>
      <c r="K87" s="57">
        <f>1/M85</f>
        <v>0.3333333333</v>
      </c>
      <c r="L87" s="57">
        <f>1/M86</f>
        <v>0.5</v>
      </c>
      <c r="M87" s="57">
        <f>1</f>
        <v>1</v>
      </c>
      <c r="N87" s="57">
        <f t="shared" si="37"/>
        <v>0.6389431042</v>
      </c>
      <c r="O87" s="57">
        <f t="shared" si="38"/>
        <v>0.1411448638</v>
      </c>
      <c r="P87" s="6"/>
      <c r="Q87" s="55" t="s">
        <v>51</v>
      </c>
      <c r="R87" s="57">
        <f>1/U84</f>
        <v>1</v>
      </c>
      <c r="S87" s="57">
        <f>1/U85</f>
        <v>0.5</v>
      </c>
      <c r="T87" s="57">
        <f>1/U86</f>
        <v>0.5</v>
      </c>
      <c r="U87" s="57">
        <f>1</f>
        <v>1</v>
      </c>
      <c r="V87" s="57">
        <f t="shared" si="40"/>
        <v>0.7071067812</v>
      </c>
      <c r="W87" s="57">
        <f t="shared" si="41"/>
        <v>0.1666666667</v>
      </c>
    </row>
    <row r="88" ht="21.75" customHeight="1">
      <c r="A88" s="67" t="s">
        <v>70</v>
      </c>
      <c r="B88" s="68">
        <f t="shared" ref="B88:G88" si="44">SUM(B84:B87)</f>
        <v>7</v>
      </c>
      <c r="C88" s="68">
        <f t="shared" si="44"/>
        <v>3.5</v>
      </c>
      <c r="D88" s="68">
        <f t="shared" si="44"/>
        <v>3.5</v>
      </c>
      <c r="E88" s="68">
        <f t="shared" si="44"/>
        <v>3.5</v>
      </c>
      <c r="F88" s="68">
        <f t="shared" si="44"/>
        <v>4.162224903</v>
      </c>
      <c r="G88" s="68">
        <f t="shared" si="44"/>
        <v>1</v>
      </c>
      <c r="H88" s="6"/>
      <c r="I88" s="67" t="s">
        <v>70</v>
      </c>
      <c r="J88" s="68">
        <f t="shared" ref="J88:O88" si="45">SUM(J84:J87)</f>
        <v>7</v>
      </c>
      <c r="K88" s="68">
        <f t="shared" si="45"/>
        <v>2.166666667</v>
      </c>
      <c r="L88" s="68">
        <f t="shared" si="45"/>
        <v>4</v>
      </c>
      <c r="M88" s="68">
        <f t="shared" si="45"/>
        <v>7</v>
      </c>
      <c r="N88" s="68">
        <f t="shared" si="45"/>
        <v>4.526860467</v>
      </c>
      <c r="O88" s="68">
        <f t="shared" si="45"/>
        <v>1</v>
      </c>
      <c r="P88" s="6"/>
      <c r="Q88" s="67" t="s">
        <v>70</v>
      </c>
      <c r="R88" s="68">
        <f t="shared" ref="R88:W88" si="46">SUM(R84:R87)</f>
        <v>6</v>
      </c>
      <c r="S88" s="68">
        <f t="shared" si="46"/>
        <v>3</v>
      </c>
      <c r="T88" s="68">
        <f t="shared" si="46"/>
        <v>3</v>
      </c>
      <c r="U88" s="68">
        <f t="shared" si="46"/>
        <v>6</v>
      </c>
      <c r="V88" s="68">
        <f t="shared" si="46"/>
        <v>4.242640687</v>
      </c>
      <c r="W88" s="68">
        <f t="shared" si="46"/>
        <v>1</v>
      </c>
    </row>
    <row r="89" ht="21.75" customHeight="1">
      <c r="A89" s="67" t="s">
        <v>71</v>
      </c>
      <c r="B89" s="68">
        <f>G84</f>
        <v>0.1428571429</v>
      </c>
      <c r="C89" s="68">
        <f>G85</f>
        <v>0.2857142857</v>
      </c>
      <c r="D89" s="68">
        <f>G86</f>
        <v>0.2857142857</v>
      </c>
      <c r="E89" s="68">
        <f>G87</f>
        <v>0.2857142857</v>
      </c>
      <c r="F89" s="68"/>
      <c r="G89" s="68"/>
      <c r="H89" s="6"/>
      <c r="I89" s="67" t="s">
        <v>71</v>
      </c>
      <c r="J89" s="68">
        <f>O84</f>
        <v>0.1411448638</v>
      </c>
      <c r="K89" s="68">
        <f>O85</f>
        <v>0.4550100801</v>
      </c>
      <c r="L89" s="68">
        <f>O86</f>
        <v>0.2627001922</v>
      </c>
      <c r="M89" s="68">
        <f>O87</f>
        <v>0.1411448638</v>
      </c>
      <c r="N89" s="68"/>
      <c r="O89" s="68"/>
      <c r="P89" s="6"/>
      <c r="Q89" s="67" t="s">
        <v>71</v>
      </c>
      <c r="R89" s="68">
        <f>W84</f>
        <v>0.1666666667</v>
      </c>
      <c r="S89" s="68">
        <f>W85</f>
        <v>0.3333333333</v>
      </c>
      <c r="T89" s="68">
        <f>W86</f>
        <v>0.3333333333</v>
      </c>
      <c r="U89" s="68">
        <f>W87</f>
        <v>0.1666666667</v>
      </c>
      <c r="V89" s="68"/>
      <c r="W89" s="68"/>
    </row>
    <row r="90" ht="21.75" customHeight="1">
      <c r="A90" s="55" t="s">
        <v>73</v>
      </c>
      <c r="B90" s="57">
        <f>SUMPRODUCT(B88:E88,B89:E89)</f>
        <v>4</v>
      </c>
      <c r="C90" s="57" t="s">
        <v>74</v>
      </c>
      <c r="D90" s="57">
        <f>(B90-4)/3</f>
        <v>0</v>
      </c>
      <c r="E90" s="57" t="s">
        <v>75</v>
      </c>
      <c r="F90" s="57">
        <f>D90/0.9</f>
        <v>0</v>
      </c>
      <c r="G90" s="57" t="str">
        <f>IF(F90&lt;=0.1,"OK","Проверить")</f>
        <v>OK</v>
      </c>
      <c r="H90" s="6"/>
      <c r="I90" s="55" t="s">
        <v>73</v>
      </c>
      <c r="J90" s="57">
        <f>SUMPRODUCT(J88:M88,J89:M89)</f>
        <v>4.012684036</v>
      </c>
      <c r="K90" s="57" t="s">
        <v>74</v>
      </c>
      <c r="L90" s="57">
        <f>(J90-4)/3</f>
        <v>0.004228012038</v>
      </c>
      <c r="M90" s="57" t="s">
        <v>75</v>
      </c>
      <c r="N90" s="57">
        <f>L90/0.9</f>
        <v>0.004697791153</v>
      </c>
      <c r="O90" s="57" t="str">
        <f>IF(N90&lt;=0.1,"OK","Проверить")</f>
        <v>OK</v>
      </c>
      <c r="P90" s="6"/>
      <c r="Q90" s="55" t="s">
        <v>73</v>
      </c>
      <c r="R90" s="57">
        <f>SUMPRODUCT(R88:U88,R89:U89)</f>
        <v>4</v>
      </c>
      <c r="S90" s="57" t="s">
        <v>74</v>
      </c>
      <c r="T90" s="57">
        <f>(R90-4)/3</f>
        <v>0</v>
      </c>
      <c r="U90" s="57" t="s">
        <v>75</v>
      </c>
      <c r="V90" s="57">
        <f>T90/0.9</f>
        <v>0</v>
      </c>
      <c r="W90" s="57" t="str">
        <f>IF(V90&lt;=0.1,"OK","Проверить")</f>
        <v>OK</v>
      </c>
    </row>
    <row r="91" ht="21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 ht="24.75" customHeight="1">
      <c r="A92" s="10" t="s">
        <v>105</v>
      </c>
      <c r="H92" s="6"/>
      <c r="I92" s="10" t="s">
        <v>105</v>
      </c>
      <c r="P92" s="6"/>
      <c r="Q92" s="10" t="s">
        <v>105</v>
      </c>
    </row>
    <row r="93" ht="24.0" customHeight="1">
      <c r="A93" s="53" t="s">
        <v>6</v>
      </c>
      <c r="B93" s="53" t="s">
        <v>14</v>
      </c>
      <c r="C93" s="53" t="s">
        <v>17</v>
      </c>
      <c r="D93" s="53" t="s">
        <v>20</v>
      </c>
      <c r="E93" s="53" t="s">
        <v>22</v>
      </c>
      <c r="F93" s="53" t="s">
        <v>62</v>
      </c>
      <c r="G93" s="53" t="s">
        <v>63</v>
      </c>
      <c r="H93" s="6"/>
      <c r="I93" s="53" t="s">
        <v>6</v>
      </c>
      <c r="J93" s="53" t="s">
        <v>14</v>
      </c>
      <c r="K93" s="53" t="s">
        <v>17</v>
      </c>
      <c r="L93" s="53" t="s">
        <v>20</v>
      </c>
      <c r="M93" s="53" t="s">
        <v>22</v>
      </c>
      <c r="N93" s="53" t="s">
        <v>62</v>
      </c>
      <c r="O93" s="53" t="s">
        <v>63</v>
      </c>
      <c r="P93" s="6"/>
      <c r="Q93" s="53" t="s">
        <v>6</v>
      </c>
      <c r="R93" s="53" t="s">
        <v>14</v>
      </c>
      <c r="S93" s="53" t="s">
        <v>17</v>
      </c>
      <c r="T93" s="53" t="s">
        <v>20</v>
      </c>
      <c r="U93" s="53" t="s">
        <v>22</v>
      </c>
      <c r="V93" s="53" t="s">
        <v>62</v>
      </c>
      <c r="W93" s="53" t="s">
        <v>63</v>
      </c>
    </row>
    <row r="94" ht="21.75" customHeight="1">
      <c r="A94" s="55" t="s">
        <v>14</v>
      </c>
      <c r="B94" s="57">
        <f>1</f>
        <v>1</v>
      </c>
      <c r="C94" s="75">
        <f>2</f>
        <v>2</v>
      </c>
      <c r="D94" s="75">
        <f>3</f>
        <v>3</v>
      </c>
      <c r="E94" s="75">
        <f t="shared" ref="E94:E95" si="49">1</f>
        <v>1</v>
      </c>
      <c r="F94" s="57">
        <f t="shared" ref="F94:F97" si="50">POWER(PRODUCT(B94:E94),1/4)</f>
        <v>1.56508458</v>
      </c>
      <c r="G94" s="57">
        <f t="shared" ref="G94:G97" si="51">F94/SUM($F$94:$F$97)</f>
        <v>0.3584176541</v>
      </c>
      <c r="H94" s="6"/>
      <c r="I94" s="55" t="s">
        <v>14</v>
      </c>
      <c r="J94" s="57">
        <f t="shared" ref="J94:K94" si="47">1</f>
        <v>1</v>
      </c>
      <c r="K94" s="75">
        <f t="shared" si="47"/>
        <v>1</v>
      </c>
      <c r="L94" s="75">
        <f t="shared" ref="L94:L95" si="52">3</f>
        <v>3</v>
      </c>
      <c r="M94" s="75">
        <f t="shared" ref="M94:M95" si="53">1</f>
        <v>1</v>
      </c>
      <c r="N94" s="57">
        <f t="shared" ref="N94:N97" si="54">POWER(PRODUCT(J94:M94),1/4)</f>
        <v>1.316074013</v>
      </c>
      <c r="O94" s="57">
        <f t="shared" ref="O94:O97" si="55">N94/SUM($N$94:$N$97)</f>
        <v>0.3</v>
      </c>
      <c r="P94" s="6"/>
      <c r="Q94" s="55" t="s">
        <v>14</v>
      </c>
      <c r="R94" s="57">
        <f t="shared" ref="R94:S94" si="48">1</f>
        <v>1</v>
      </c>
      <c r="S94" s="75">
        <f t="shared" si="48"/>
        <v>1</v>
      </c>
      <c r="T94" s="75">
        <f>2</f>
        <v>2</v>
      </c>
      <c r="U94" s="75">
        <f t="shared" ref="U94:U95" si="56">1</f>
        <v>1</v>
      </c>
      <c r="V94" s="57">
        <f t="shared" ref="V94:V97" si="57">POWER(PRODUCT(R94:U94),1/4)</f>
        <v>1.189207115</v>
      </c>
      <c r="W94" s="57">
        <f t="shared" ref="W94:W97" si="58">V94/SUM($V$94:$V$97)</f>
        <v>0.2810186313</v>
      </c>
    </row>
    <row r="95" ht="21.75" customHeight="1">
      <c r="A95" s="55" t="s">
        <v>17</v>
      </c>
      <c r="B95" s="57">
        <f>1/C94</f>
        <v>0.5</v>
      </c>
      <c r="C95" s="57">
        <f>1</f>
        <v>1</v>
      </c>
      <c r="D95" s="75">
        <f>2</f>
        <v>2</v>
      </c>
      <c r="E95" s="75">
        <f t="shared" si="49"/>
        <v>1</v>
      </c>
      <c r="F95" s="57">
        <f t="shared" si="50"/>
        <v>1</v>
      </c>
      <c r="G95" s="57">
        <f t="shared" si="51"/>
        <v>0.2290084885</v>
      </c>
      <c r="H95" s="6"/>
      <c r="I95" s="55" t="s">
        <v>17</v>
      </c>
      <c r="J95" s="57">
        <f>1/K94</f>
        <v>1</v>
      </c>
      <c r="K95" s="57">
        <f>1</f>
        <v>1</v>
      </c>
      <c r="L95" s="75">
        <f t="shared" si="52"/>
        <v>3</v>
      </c>
      <c r="M95" s="75">
        <f t="shared" si="53"/>
        <v>1</v>
      </c>
      <c r="N95" s="57">
        <f t="shared" si="54"/>
        <v>1.316074013</v>
      </c>
      <c r="O95" s="57">
        <f t="shared" si="55"/>
        <v>0.3</v>
      </c>
      <c r="P95" s="6"/>
      <c r="Q95" s="55" t="s">
        <v>17</v>
      </c>
      <c r="R95" s="57">
        <f>1/S94</f>
        <v>1</v>
      </c>
      <c r="S95" s="57">
        <f>1</f>
        <v>1</v>
      </c>
      <c r="T95" s="75">
        <f>3</f>
        <v>3</v>
      </c>
      <c r="U95" s="75">
        <f t="shared" si="56"/>
        <v>1</v>
      </c>
      <c r="V95" s="57">
        <f t="shared" si="57"/>
        <v>1.316074013</v>
      </c>
      <c r="W95" s="57">
        <f t="shared" si="58"/>
        <v>0.3109982383</v>
      </c>
    </row>
    <row r="96" ht="21.75" customHeight="1">
      <c r="A96" s="55" t="s">
        <v>20</v>
      </c>
      <c r="B96" s="57">
        <f>1/D94</f>
        <v>0.3333333333</v>
      </c>
      <c r="C96" s="57">
        <f>1/D95</f>
        <v>0.5</v>
      </c>
      <c r="D96" s="57">
        <f>1</f>
        <v>1</v>
      </c>
      <c r="E96" s="75">
        <f>1/3</f>
        <v>0.3333333333</v>
      </c>
      <c r="F96" s="57">
        <f t="shared" si="50"/>
        <v>0.4854917717</v>
      </c>
      <c r="G96" s="57">
        <f t="shared" si="51"/>
        <v>0.1111817368</v>
      </c>
      <c r="H96" s="6"/>
      <c r="I96" s="55" t="s">
        <v>20</v>
      </c>
      <c r="J96" s="57">
        <f>1/L94</f>
        <v>0.3333333333</v>
      </c>
      <c r="K96" s="57">
        <f>1/L95</f>
        <v>0.3333333333</v>
      </c>
      <c r="L96" s="57">
        <f>1</f>
        <v>1</v>
      </c>
      <c r="M96" s="75">
        <f>1/3</f>
        <v>0.3333333333</v>
      </c>
      <c r="N96" s="57">
        <f t="shared" si="54"/>
        <v>0.4386913377</v>
      </c>
      <c r="O96" s="57">
        <f t="shared" si="55"/>
        <v>0.1</v>
      </c>
      <c r="P96" s="6"/>
      <c r="Q96" s="55" t="s">
        <v>20</v>
      </c>
      <c r="R96" s="57">
        <f>1/T94</f>
        <v>0.5</v>
      </c>
      <c r="S96" s="57">
        <f>1/T95</f>
        <v>0.3333333333</v>
      </c>
      <c r="T96" s="57">
        <f>1</f>
        <v>1</v>
      </c>
      <c r="U96" s="75">
        <f>1/2</f>
        <v>0.5</v>
      </c>
      <c r="V96" s="57">
        <f t="shared" si="57"/>
        <v>0.5372849659</v>
      </c>
      <c r="W96" s="57">
        <f t="shared" si="58"/>
        <v>0.1269644991</v>
      </c>
    </row>
    <row r="97" ht="21.75" customHeight="1">
      <c r="A97" s="55" t="s">
        <v>22</v>
      </c>
      <c r="B97" s="57">
        <f>1/E94</f>
        <v>1</v>
      </c>
      <c r="C97" s="57">
        <f>1/E95</f>
        <v>1</v>
      </c>
      <c r="D97" s="57">
        <f>1/E96</f>
        <v>3</v>
      </c>
      <c r="E97" s="57">
        <f>1</f>
        <v>1</v>
      </c>
      <c r="F97" s="57">
        <f t="shared" si="50"/>
        <v>1.316074013</v>
      </c>
      <c r="G97" s="57">
        <f t="shared" si="51"/>
        <v>0.3013921205</v>
      </c>
      <c r="H97" s="6"/>
      <c r="I97" s="55" t="s">
        <v>22</v>
      </c>
      <c r="J97" s="57">
        <f>1/M94</f>
        <v>1</v>
      </c>
      <c r="K97" s="57">
        <f>1/M95</f>
        <v>1</v>
      </c>
      <c r="L97" s="57">
        <f>1/M96</f>
        <v>3</v>
      </c>
      <c r="M97" s="57">
        <f>1</f>
        <v>1</v>
      </c>
      <c r="N97" s="57">
        <f t="shared" si="54"/>
        <v>1.316074013</v>
      </c>
      <c r="O97" s="57">
        <f t="shared" si="55"/>
        <v>0.3</v>
      </c>
      <c r="P97" s="6"/>
      <c r="Q97" s="55" t="s">
        <v>22</v>
      </c>
      <c r="R97" s="57">
        <f>1/U94</f>
        <v>1</v>
      </c>
      <c r="S97" s="57">
        <f>1/U95</f>
        <v>1</v>
      </c>
      <c r="T97" s="57">
        <f>1/U96</f>
        <v>2</v>
      </c>
      <c r="U97" s="57">
        <f>1</f>
        <v>1</v>
      </c>
      <c r="V97" s="57">
        <f t="shared" si="57"/>
        <v>1.189207115</v>
      </c>
      <c r="W97" s="57">
        <f t="shared" si="58"/>
        <v>0.2810186313</v>
      </c>
    </row>
    <row r="98" ht="21.75" customHeight="1">
      <c r="A98" s="67" t="s">
        <v>70</v>
      </c>
      <c r="B98" s="68">
        <f t="shared" ref="B98:G98" si="59">SUM(B94:B97)</f>
        <v>2.833333333</v>
      </c>
      <c r="C98" s="68">
        <f t="shared" si="59"/>
        <v>4.5</v>
      </c>
      <c r="D98" s="68">
        <f t="shared" si="59"/>
        <v>9</v>
      </c>
      <c r="E98" s="68">
        <f t="shared" si="59"/>
        <v>3.333333333</v>
      </c>
      <c r="F98" s="68">
        <f t="shared" si="59"/>
        <v>4.366650365</v>
      </c>
      <c r="G98" s="68">
        <f t="shared" si="59"/>
        <v>1</v>
      </c>
      <c r="H98" s="6"/>
      <c r="I98" s="67" t="s">
        <v>70</v>
      </c>
      <c r="J98" s="68">
        <f t="shared" ref="J98:O98" si="60">SUM(J94:J97)</f>
        <v>3.333333333</v>
      </c>
      <c r="K98" s="68">
        <f t="shared" si="60"/>
        <v>3.333333333</v>
      </c>
      <c r="L98" s="68">
        <f t="shared" si="60"/>
        <v>10</v>
      </c>
      <c r="M98" s="68">
        <f t="shared" si="60"/>
        <v>3.333333333</v>
      </c>
      <c r="N98" s="68">
        <f t="shared" si="60"/>
        <v>4.386913377</v>
      </c>
      <c r="O98" s="68">
        <f t="shared" si="60"/>
        <v>1</v>
      </c>
      <c r="P98" s="6"/>
      <c r="Q98" s="67" t="s">
        <v>70</v>
      </c>
      <c r="R98" s="68">
        <f t="shared" ref="R98:W98" si="61">SUM(R94:R97)</f>
        <v>3.5</v>
      </c>
      <c r="S98" s="68">
        <f t="shared" si="61"/>
        <v>3.333333333</v>
      </c>
      <c r="T98" s="68">
        <f t="shared" si="61"/>
        <v>8</v>
      </c>
      <c r="U98" s="68">
        <f t="shared" si="61"/>
        <v>3.5</v>
      </c>
      <c r="V98" s="68">
        <f t="shared" si="61"/>
        <v>4.231773209</v>
      </c>
      <c r="W98" s="68">
        <f t="shared" si="61"/>
        <v>1</v>
      </c>
    </row>
    <row r="99" ht="21.75" customHeight="1">
      <c r="A99" s="67" t="s">
        <v>71</v>
      </c>
      <c r="B99" s="68">
        <f>G94</f>
        <v>0.3584176541</v>
      </c>
      <c r="C99" s="68">
        <f>G95</f>
        <v>0.2290084885</v>
      </c>
      <c r="D99" s="68">
        <f>G96</f>
        <v>0.1111817368</v>
      </c>
      <c r="E99" s="68">
        <f>G97</f>
        <v>0.3013921205</v>
      </c>
      <c r="F99" s="68"/>
      <c r="G99" s="68"/>
      <c r="H99" s="6"/>
      <c r="I99" s="67" t="s">
        <v>71</v>
      </c>
      <c r="J99" s="68">
        <f>O94</f>
        <v>0.3</v>
      </c>
      <c r="K99" s="68">
        <f>O95</f>
        <v>0.3</v>
      </c>
      <c r="L99" s="68">
        <f>O96</f>
        <v>0.1</v>
      </c>
      <c r="M99" s="68">
        <f>O97</f>
        <v>0.3</v>
      </c>
      <c r="N99" s="68"/>
      <c r="O99" s="68"/>
      <c r="P99" s="6"/>
      <c r="Q99" s="67" t="s">
        <v>71</v>
      </c>
      <c r="R99" s="68">
        <f>W94</f>
        <v>0.2810186313</v>
      </c>
      <c r="S99" s="68">
        <f>W95</f>
        <v>0.3109982383</v>
      </c>
      <c r="T99" s="68">
        <f>W96</f>
        <v>0.1269644991</v>
      </c>
      <c r="U99" s="68">
        <f>W97</f>
        <v>0.2810186313</v>
      </c>
      <c r="V99" s="68"/>
      <c r="W99" s="68"/>
    </row>
    <row r="100" ht="21.75" customHeight="1">
      <c r="A100" s="55" t="s">
        <v>73</v>
      </c>
      <c r="B100" s="57">
        <f>SUMPRODUCT(B98:E98,B99:E99)</f>
        <v>4.051330918</v>
      </c>
      <c r="C100" s="57" t="s">
        <v>74</v>
      </c>
      <c r="D100" s="57">
        <f>(B100-4)/3</f>
        <v>0.0171103061</v>
      </c>
      <c r="E100" s="57" t="s">
        <v>75</v>
      </c>
      <c r="F100" s="57">
        <f>D100/0.9</f>
        <v>0.01901145122</v>
      </c>
      <c r="G100" s="57" t="str">
        <f>IF(F100&lt;=0.1,"OK","Проверить")</f>
        <v>OK</v>
      </c>
      <c r="H100" s="6"/>
      <c r="I100" s="55" t="s">
        <v>73</v>
      </c>
      <c r="J100" s="57">
        <f>SUMPRODUCT(J98:M98,J99:M99)</f>
        <v>4</v>
      </c>
      <c r="K100" s="57" t="s">
        <v>74</v>
      </c>
      <c r="L100" s="57">
        <f>(J100-4)/3</f>
        <v>0</v>
      </c>
      <c r="M100" s="57" t="s">
        <v>75</v>
      </c>
      <c r="N100" s="57">
        <f>L100/0.9</f>
        <v>0</v>
      </c>
      <c r="O100" s="57" t="str">
        <f>IF(N100&lt;=0.1,"OK","Проверить")</f>
        <v>OK</v>
      </c>
      <c r="P100" s="6"/>
      <c r="Q100" s="55" t="s">
        <v>73</v>
      </c>
      <c r="R100" s="57">
        <f>SUMPRODUCT(R98:U98,R99:U99)</f>
        <v>4.019507206</v>
      </c>
      <c r="S100" s="57" t="s">
        <v>74</v>
      </c>
      <c r="T100" s="57">
        <f>(R100-4)/3</f>
        <v>0.006502402127</v>
      </c>
      <c r="U100" s="57" t="s">
        <v>75</v>
      </c>
      <c r="V100" s="57">
        <f>T100/0.9</f>
        <v>0.007224891252</v>
      </c>
      <c r="W100" s="57" t="str">
        <f>IF(V100&lt;=0.1,"OK","Проверить")</f>
        <v>OK</v>
      </c>
    </row>
    <row r="101" ht="21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 ht="24.75" customHeight="1">
      <c r="A102" s="10" t="s">
        <v>106</v>
      </c>
      <c r="H102" s="6"/>
      <c r="I102" s="10" t="s">
        <v>106</v>
      </c>
      <c r="P102" s="6"/>
      <c r="Q102" s="10" t="s">
        <v>106</v>
      </c>
    </row>
    <row r="103" ht="24.0" customHeight="1">
      <c r="A103" s="53" t="s">
        <v>6</v>
      </c>
      <c r="B103" s="53" t="s">
        <v>14</v>
      </c>
      <c r="C103" s="53" t="s">
        <v>17</v>
      </c>
      <c r="D103" s="53" t="s">
        <v>20</v>
      </c>
      <c r="E103" s="53" t="s">
        <v>22</v>
      </c>
      <c r="F103" s="53" t="s">
        <v>62</v>
      </c>
      <c r="G103" s="53" t="s">
        <v>63</v>
      </c>
      <c r="H103" s="6"/>
      <c r="I103" s="53" t="s">
        <v>6</v>
      </c>
      <c r="J103" s="53" t="s">
        <v>14</v>
      </c>
      <c r="K103" s="53" t="s">
        <v>17</v>
      </c>
      <c r="L103" s="53" t="s">
        <v>20</v>
      </c>
      <c r="M103" s="53" t="s">
        <v>22</v>
      </c>
      <c r="N103" s="53" t="s">
        <v>62</v>
      </c>
      <c r="O103" s="53" t="s">
        <v>63</v>
      </c>
      <c r="P103" s="6"/>
      <c r="Q103" s="53" t="s">
        <v>6</v>
      </c>
      <c r="R103" s="53" t="s">
        <v>14</v>
      </c>
      <c r="S103" s="53" t="s">
        <v>17</v>
      </c>
      <c r="T103" s="53" t="s">
        <v>20</v>
      </c>
      <c r="U103" s="53" t="s">
        <v>22</v>
      </c>
      <c r="V103" s="53" t="s">
        <v>62</v>
      </c>
      <c r="W103" s="53" t="s">
        <v>63</v>
      </c>
    </row>
    <row r="104" ht="21.75" customHeight="1">
      <c r="A104" s="55" t="s">
        <v>14</v>
      </c>
      <c r="B104" s="57">
        <f>1</f>
        <v>1</v>
      </c>
      <c r="C104" s="75">
        <f>2</f>
        <v>2</v>
      </c>
      <c r="D104" s="75">
        <f>5</f>
        <v>5</v>
      </c>
      <c r="E104" s="75">
        <f>2</f>
        <v>2</v>
      </c>
      <c r="F104" s="57">
        <f t="shared" ref="F104:F107" si="62">POWER(PRODUCT(B104:E104),1/4)</f>
        <v>2.114742527</v>
      </c>
      <c r="G104" s="57">
        <f t="shared" ref="G104:G107" si="63">F104/SUM($F$104:$F$107)</f>
        <v>0.4549093976</v>
      </c>
      <c r="H104" s="6"/>
      <c r="I104" s="55" t="s">
        <v>14</v>
      </c>
      <c r="J104" s="57">
        <f>1</f>
        <v>1</v>
      </c>
      <c r="K104" s="75">
        <f>2</f>
        <v>2</v>
      </c>
      <c r="L104" s="75">
        <f>5</f>
        <v>5</v>
      </c>
      <c r="M104" s="75">
        <f>2</f>
        <v>2</v>
      </c>
      <c r="N104" s="57">
        <f t="shared" ref="N104:N107" si="64">POWER(PRODUCT(J104:M104),1/4)</f>
        <v>2.114742527</v>
      </c>
      <c r="O104" s="57">
        <f t="shared" ref="O104:O107" si="65">N104/SUM($N$104:$N$107)</f>
        <v>0.4485895464</v>
      </c>
      <c r="P104" s="6"/>
      <c r="Q104" s="55" t="s">
        <v>14</v>
      </c>
      <c r="R104" s="57">
        <f>1</f>
        <v>1</v>
      </c>
      <c r="S104" s="75">
        <f>2</f>
        <v>2</v>
      </c>
      <c r="T104" s="75">
        <f>4</f>
        <v>4</v>
      </c>
      <c r="U104" s="75">
        <f>2</f>
        <v>2</v>
      </c>
      <c r="V104" s="57">
        <f t="shared" ref="V104:V107" si="66">POWER(PRODUCT(R104:U104),1/4)</f>
        <v>2</v>
      </c>
      <c r="W104" s="57">
        <f t="shared" ref="W104:W107" si="67">V104/SUM($V$104:$V$107)</f>
        <v>0.4387424576</v>
      </c>
    </row>
    <row r="105" ht="21.75" customHeight="1">
      <c r="A105" s="55" t="s">
        <v>17</v>
      </c>
      <c r="B105" s="57">
        <f>1/C104</f>
        <v>0.5</v>
      </c>
      <c r="C105" s="57">
        <f>1</f>
        <v>1</v>
      </c>
      <c r="D105" s="75">
        <f>2</f>
        <v>2</v>
      </c>
      <c r="E105" s="75">
        <f>1</f>
        <v>1</v>
      </c>
      <c r="F105" s="57">
        <f t="shared" si="62"/>
        <v>1</v>
      </c>
      <c r="G105" s="57">
        <f t="shared" si="63"/>
        <v>0.2151133728</v>
      </c>
      <c r="H105" s="6"/>
      <c r="I105" s="55" t="s">
        <v>17</v>
      </c>
      <c r="J105" s="57">
        <f>1/K104</f>
        <v>0.5</v>
      </c>
      <c r="K105" s="57">
        <f>1</f>
        <v>1</v>
      </c>
      <c r="L105" s="75">
        <f>3</f>
        <v>3</v>
      </c>
      <c r="M105" s="75">
        <f>1</f>
        <v>1</v>
      </c>
      <c r="N105" s="57">
        <f t="shared" si="64"/>
        <v>1.10668192</v>
      </c>
      <c r="O105" s="57">
        <f t="shared" si="65"/>
        <v>0.2347547912</v>
      </c>
      <c r="P105" s="6"/>
      <c r="Q105" s="55" t="s">
        <v>17</v>
      </c>
      <c r="R105" s="57">
        <f>1/S104</f>
        <v>0.5</v>
      </c>
      <c r="S105" s="57">
        <f>1</f>
        <v>1</v>
      </c>
      <c r="T105" s="75">
        <f>3</f>
        <v>3</v>
      </c>
      <c r="U105" s="75">
        <f>1</f>
        <v>1</v>
      </c>
      <c r="V105" s="57">
        <f t="shared" si="66"/>
        <v>1.10668192</v>
      </c>
      <c r="W105" s="57">
        <f t="shared" si="67"/>
        <v>0.2427741726</v>
      </c>
    </row>
    <row r="106" ht="21.75" customHeight="1">
      <c r="A106" s="55" t="s">
        <v>20</v>
      </c>
      <c r="B106" s="57">
        <f>1/D104</f>
        <v>0.2</v>
      </c>
      <c r="C106" s="57">
        <f>1/D105</f>
        <v>0.5</v>
      </c>
      <c r="D106" s="57">
        <f>1</f>
        <v>1</v>
      </c>
      <c r="E106" s="75">
        <f>1/3</f>
        <v>0.3333333333</v>
      </c>
      <c r="F106" s="57">
        <f t="shared" si="62"/>
        <v>0.4272870064</v>
      </c>
      <c r="G106" s="57">
        <f t="shared" si="63"/>
        <v>0.09191514912</v>
      </c>
      <c r="H106" s="6"/>
      <c r="I106" s="55" t="s">
        <v>20</v>
      </c>
      <c r="J106" s="57">
        <f>1/L104</f>
        <v>0.2</v>
      </c>
      <c r="K106" s="57">
        <f>1/L105</f>
        <v>0.3333333333</v>
      </c>
      <c r="L106" s="57">
        <f>1</f>
        <v>1</v>
      </c>
      <c r="M106" s="75">
        <f>1/3</f>
        <v>0.3333333333</v>
      </c>
      <c r="N106" s="57">
        <f t="shared" si="64"/>
        <v>0.3860973951</v>
      </c>
      <c r="O106" s="57">
        <f t="shared" si="65"/>
        <v>0.08190087121</v>
      </c>
      <c r="P106" s="6"/>
      <c r="Q106" s="55" t="s">
        <v>20</v>
      </c>
      <c r="R106" s="57">
        <f>1/T104</f>
        <v>0.25</v>
      </c>
      <c r="S106" s="57">
        <f>1/T105</f>
        <v>0.3333333333</v>
      </c>
      <c r="T106" s="57">
        <f>1</f>
        <v>1</v>
      </c>
      <c r="U106" s="75">
        <f>1/2</f>
        <v>0.5</v>
      </c>
      <c r="V106" s="57">
        <f t="shared" si="66"/>
        <v>0.4518010018</v>
      </c>
      <c r="W106" s="57">
        <f t="shared" si="67"/>
        <v>0.09911214094</v>
      </c>
    </row>
    <row r="107" ht="21.75" customHeight="1">
      <c r="A107" s="55" t="s">
        <v>22</v>
      </c>
      <c r="B107" s="57">
        <f>1/E104</f>
        <v>0.5</v>
      </c>
      <c r="C107" s="57">
        <f>1/E105</f>
        <v>1</v>
      </c>
      <c r="D107" s="57">
        <f>1/E106</f>
        <v>3</v>
      </c>
      <c r="E107" s="57">
        <f>1</f>
        <v>1</v>
      </c>
      <c r="F107" s="57">
        <f t="shared" si="62"/>
        <v>1.10668192</v>
      </c>
      <c r="G107" s="57">
        <f t="shared" si="63"/>
        <v>0.2380620804</v>
      </c>
      <c r="H107" s="6"/>
      <c r="I107" s="55" t="s">
        <v>22</v>
      </c>
      <c r="J107" s="57">
        <f>1/M104</f>
        <v>0.5</v>
      </c>
      <c r="K107" s="57">
        <f>1/M105</f>
        <v>1</v>
      </c>
      <c r="L107" s="57">
        <f>1/M106</f>
        <v>3</v>
      </c>
      <c r="M107" s="57">
        <f>1</f>
        <v>1</v>
      </c>
      <c r="N107" s="57">
        <f t="shared" si="64"/>
        <v>1.10668192</v>
      </c>
      <c r="O107" s="57">
        <f t="shared" si="65"/>
        <v>0.2347547912</v>
      </c>
      <c r="P107" s="6"/>
      <c r="Q107" s="55" t="s">
        <v>22</v>
      </c>
      <c r="R107" s="57">
        <f>1/U104</f>
        <v>0.5</v>
      </c>
      <c r="S107" s="57">
        <f>1/U105</f>
        <v>1</v>
      </c>
      <c r="T107" s="57">
        <f>1/U106</f>
        <v>2</v>
      </c>
      <c r="U107" s="57">
        <f>1</f>
        <v>1</v>
      </c>
      <c r="V107" s="57">
        <f t="shared" si="66"/>
        <v>1</v>
      </c>
      <c r="W107" s="57">
        <f t="shared" si="67"/>
        <v>0.2193712288</v>
      </c>
    </row>
    <row r="108" ht="21.75" customHeight="1">
      <c r="A108" s="67" t="s">
        <v>70</v>
      </c>
      <c r="B108" s="68">
        <f t="shared" ref="B108:G108" si="68">SUM(B104:B107)</f>
        <v>2.2</v>
      </c>
      <c r="C108" s="68">
        <f t="shared" si="68"/>
        <v>4.5</v>
      </c>
      <c r="D108" s="68">
        <f t="shared" si="68"/>
        <v>11</v>
      </c>
      <c r="E108" s="68">
        <f t="shared" si="68"/>
        <v>4.333333333</v>
      </c>
      <c r="F108" s="68">
        <f t="shared" si="68"/>
        <v>4.648711453</v>
      </c>
      <c r="G108" s="68">
        <f t="shared" si="68"/>
        <v>1</v>
      </c>
      <c r="H108" s="6"/>
      <c r="I108" s="67" t="s">
        <v>70</v>
      </c>
      <c r="J108" s="68">
        <f t="shared" ref="J108:O108" si="69">SUM(J104:J107)</f>
        <v>2.2</v>
      </c>
      <c r="K108" s="68">
        <f t="shared" si="69"/>
        <v>4.333333333</v>
      </c>
      <c r="L108" s="68">
        <f t="shared" si="69"/>
        <v>12</v>
      </c>
      <c r="M108" s="68">
        <f t="shared" si="69"/>
        <v>4.333333333</v>
      </c>
      <c r="N108" s="68">
        <f t="shared" si="69"/>
        <v>4.714203761</v>
      </c>
      <c r="O108" s="68">
        <f t="shared" si="69"/>
        <v>1</v>
      </c>
      <c r="P108" s="6"/>
      <c r="Q108" s="67" t="s">
        <v>70</v>
      </c>
      <c r="R108" s="68">
        <f t="shared" ref="R108:W108" si="70">SUM(R104:R107)</f>
        <v>2.25</v>
      </c>
      <c r="S108" s="68">
        <f t="shared" si="70"/>
        <v>4.333333333</v>
      </c>
      <c r="T108" s="68">
        <f t="shared" si="70"/>
        <v>10</v>
      </c>
      <c r="U108" s="68">
        <f t="shared" si="70"/>
        <v>4.5</v>
      </c>
      <c r="V108" s="68">
        <f t="shared" si="70"/>
        <v>4.558482922</v>
      </c>
      <c r="W108" s="68">
        <f t="shared" si="70"/>
        <v>1</v>
      </c>
    </row>
    <row r="109" ht="21.75" customHeight="1">
      <c r="A109" s="67" t="s">
        <v>71</v>
      </c>
      <c r="B109" s="68">
        <f>G104</f>
        <v>0.4549093976</v>
      </c>
      <c r="C109" s="68">
        <f>G105</f>
        <v>0.2151133728</v>
      </c>
      <c r="D109" s="68">
        <f>G106</f>
        <v>0.09191514912</v>
      </c>
      <c r="E109" s="68">
        <f>G107</f>
        <v>0.2380620804</v>
      </c>
      <c r="F109" s="68"/>
      <c r="G109" s="68"/>
      <c r="H109" s="6"/>
      <c r="I109" s="67" t="s">
        <v>71</v>
      </c>
      <c r="J109" s="68">
        <f>O104</f>
        <v>0.4485895464</v>
      </c>
      <c r="K109" s="68">
        <f>O105</f>
        <v>0.2347547912</v>
      </c>
      <c r="L109" s="68">
        <f>O106</f>
        <v>0.08190087121</v>
      </c>
      <c r="M109" s="68">
        <f>O107</f>
        <v>0.2347547912</v>
      </c>
      <c r="N109" s="68"/>
      <c r="O109" s="68"/>
      <c r="P109" s="6"/>
      <c r="Q109" s="67" t="s">
        <v>71</v>
      </c>
      <c r="R109" s="68">
        <f>W104</f>
        <v>0.4387424576</v>
      </c>
      <c r="S109" s="68">
        <f>W105</f>
        <v>0.2427741726</v>
      </c>
      <c r="T109" s="68">
        <f>W106</f>
        <v>0.09911214094</v>
      </c>
      <c r="U109" s="68">
        <f>W107</f>
        <v>0.2193712288</v>
      </c>
      <c r="V109" s="68"/>
      <c r="W109" s="68"/>
    </row>
    <row r="110" ht="21.75" customHeight="1">
      <c r="A110" s="55" t="s">
        <v>73</v>
      </c>
      <c r="B110" s="57">
        <f>SUMPRODUCT(B108:E108,B109:E109)</f>
        <v>4.011479841</v>
      </c>
      <c r="C110" s="57" t="s">
        <v>74</v>
      </c>
      <c r="D110" s="57">
        <f>(B110-4)/3</f>
        <v>0.003826613759</v>
      </c>
      <c r="E110" s="57" t="s">
        <v>75</v>
      </c>
      <c r="F110" s="57">
        <f>D110/0.9</f>
        <v>0.004251793065</v>
      </c>
      <c r="G110" s="57" t="str">
        <f>IF(F110&lt;=0.1,"OK","Проверить")</f>
        <v>OK</v>
      </c>
      <c r="H110" s="6"/>
      <c r="I110" s="55" t="s">
        <v>73</v>
      </c>
      <c r="J110" s="57">
        <f>SUMPRODUCT(J108:M108,J109:M109)</f>
        <v>4.00424898</v>
      </c>
      <c r="K110" s="57" t="s">
        <v>74</v>
      </c>
      <c r="L110" s="57">
        <f>(J110-4)/3</f>
        <v>0.001416326762</v>
      </c>
      <c r="M110" s="57" t="s">
        <v>75</v>
      </c>
      <c r="N110" s="57">
        <f>L110/0.9</f>
        <v>0.001573696402</v>
      </c>
      <c r="O110" s="57" t="str">
        <f>IF(N110&lt;=0.1,"OK","Проверить")</f>
        <v>OK</v>
      </c>
      <c r="P110" s="6"/>
      <c r="Q110" s="55" t="s">
        <v>73</v>
      </c>
      <c r="R110" s="57">
        <f>SUMPRODUCT(R108:U108,R109:U109)</f>
        <v>4.017483883</v>
      </c>
      <c r="S110" s="57" t="s">
        <v>74</v>
      </c>
      <c r="T110" s="57">
        <f>(R110-4)/3</f>
        <v>0.005827961147</v>
      </c>
      <c r="U110" s="57" t="s">
        <v>75</v>
      </c>
      <c r="V110" s="57">
        <f>T110/0.9</f>
        <v>0.006475512385</v>
      </c>
      <c r="W110" s="57" t="str">
        <f>IF(V110&lt;=0.1,"OK","Проверить")</f>
        <v>OK</v>
      </c>
    </row>
    <row r="111" ht="21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 ht="24.75" customHeight="1">
      <c r="A112" s="10" t="s">
        <v>107</v>
      </c>
      <c r="H112" s="6"/>
      <c r="I112" s="10" t="s">
        <v>107</v>
      </c>
      <c r="P112" s="6"/>
      <c r="Q112" s="10" t="s">
        <v>107</v>
      </c>
    </row>
    <row r="113" ht="24.0" customHeight="1">
      <c r="A113" s="53" t="s">
        <v>6</v>
      </c>
      <c r="B113" s="53" t="s">
        <v>14</v>
      </c>
      <c r="C113" s="53" t="s">
        <v>17</v>
      </c>
      <c r="D113" s="53" t="s">
        <v>20</v>
      </c>
      <c r="E113" s="53" t="s">
        <v>22</v>
      </c>
      <c r="F113" s="53" t="s">
        <v>62</v>
      </c>
      <c r="G113" s="53" t="s">
        <v>63</v>
      </c>
      <c r="H113" s="6"/>
      <c r="I113" s="53" t="s">
        <v>6</v>
      </c>
      <c r="J113" s="53" t="s">
        <v>14</v>
      </c>
      <c r="K113" s="53" t="s">
        <v>17</v>
      </c>
      <c r="L113" s="53" t="s">
        <v>20</v>
      </c>
      <c r="M113" s="53" t="s">
        <v>22</v>
      </c>
      <c r="N113" s="53" t="s">
        <v>62</v>
      </c>
      <c r="O113" s="53" t="s">
        <v>63</v>
      </c>
      <c r="P113" s="6"/>
      <c r="Q113" s="53" t="s">
        <v>6</v>
      </c>
      <c r="R113" s="53" t="s">
        <v>14</v>
      </c>
      <c r="S113" s="53" t="s">
        <v>17</v>
      </c>
      <c r="T113" s="53" t="s">
        <v>20</v>
      </c>
      <c r="U113" s="53" t="s">
        <v>22</v>
      </c>
      <c r="V113" s="53" t="s">
        <v>62</v>
      </c>
      <c r="W113" s="53" t="s">
        <v>63</v>
      </c>
    </row>
    <row r="114" ht="21.75" customHeight="1">
      <c r="A114" s="55" t="s">
        <v>14</v>
      </c>
      <c r="B114" s="57">
        <f>1</f>
        <v>1</v>
      </c>
      <c r="C114" s="75">
        <f>1/2</f>
        <v>0.5</v>
      </c>
      <c r="D114" s="75">
        <f>3</f>
        <v>3</v>
      </c>
      <c r="E114" s="75">
        <f>1</f>
        <v>1</v>
      </c>
      <c r="F114" s="57">
        <f t="shared" ref="F114:F117" si="71">POWER(PRODUCT(B114:E114),1/4)</f>
        <v>1.10668192</v>
      </c>
      <c r="G114" s="57">
        <f t="shared" ref="G114:G117" si="72">F114/SUM($F$114:$F$117)</f>
        <v>0.2427741726</v>
      </c>
      <c r="H114" s="6"/>
      <c r="I114" s="55" t="s">
        <v>14</v>
      </c>
      <c r="J114" s="57">
        <f>1</f>
        <v>1</v>
      </c>
      <c r="K114" s="75">
        <f>1/2</f>
        <v>0.5</v>
      </c>
      <c r="L114" s="75">
        <f t="shared" ref="L114:L115" si="73">3</f>
        <v>3</v>
      </c>
      <c r="M114" s="75">
        <f>1</f>
        <v>1</v>
      </c>
      <c r="N114" s="57">
        <f t="shared" ref="N114:N117" si="74">POWER(PRODUCT(J114:M114),1/4)</f>
        <v>1.10668192</v>
      </c>
      <c r="O114" s="57">
        <f t="shared" ref="O114:O117" si="75">N114/SUM($N$114:$N$117)</f>
        <v>0.2485036248</v>
      </c>
      <c r="P114" s="6"/>
      <c r="Q114" s="55" t="s">
        <v>14</v>
      </c>
      <c r="R114" s="57">
        <f>1</f>
        <v>1</v>
      </c>
      <c r="S114" s="75">
        <f>1/2</f>
        <v>0.5</v>
      </c>
      <c r="T114" s="75">
        <f t="shared" ref="T114:T115" si="76">3</f>
        <v>3</v>
      </c>
      <c r="U114" s="75">
        <f>1</f>
        <v>1</v>
      </c>
      <c r="V114" s="57">
        <f t="shared" ref="V114:V117" si="77">POWER(PRODUCT(R114:U114),1/4)</f>
        <v>1.10668192</v>
      </c>
      <c r="W114" s="57">
        <f t="shared" ref="W114:W117" si="78">V114/SUM($V$114:$V$117)</f>
        <v>0.2485036248</v>
      </c>
    </row>
    <row r="115" ht="21.75" customHeight="1">
      <c r="A115" s="55" t="s">
        <v>17</v>
      </c>
      <c r="B115" s="57">
        <f>1/C114</f>
        <v>2</v>
      </c>
      <c r="C115" s="57">
        <f>1</f>
        <v>1</v>
      </c>
      <c r="D115" s="75">
        <f>4</f>
        <v>4</v>
      </c>
      <c r="E115" s="75">
        <f>2</f>
        <v>2</v>
      </c>
      <c r="F115" s="57">
        <f t="shared" si="71"/>
        <v>2</v>
      </c>
      <c r="G115" s="57">
        <f t="shared" si="72"/>
        <v>0.4387424576</v>
      </c>
      <c r="H115" s="6"/>
      <c r="I115" s="55" t="s">
        <v>17</v>
      </c>
      <c r="J115" s="57">
        <f>1/K114</f>
        <v>2</v>
      </c>
      <c r="K115" s="57">
        <f>1</f>
        <v>1</v>
      </c>
      <c r="L115" s="75">
        <f t="shared" si="73"/>
        <v>3</v>
      </c>
      <c r="M115" s="75">
        <f>2</f>
        <v>2</v>
      </c>
      <c r="N115" s="57">
        <f t="shared" si="74"/>
        <v>1.861209718</v>
      </c>
      <c r="O115" s="57">
        <f t="shared" si="75"/>
        <v>0.4179316145</v>
      </c>
      <c r="P115" s="6"/>
      <c r="Q115" s="55" t="s">
        <v>17</v>
      </c>
      <c r="R115" s="57">
        <f>1/S114</f>
        <v>2</v>
      </c>
      <c r="S115" s="57">
        <f>1</f>
        <v>1</v>
      </c>
      <c r="T115" s="75">
        <f t="shared" si="76"/>
        <v>3</v>
      </c>
      <c r="U115" s="75">
        <f>2</f>
        <v>2</v>
      </c>
      <c r="V115" s="57">
        <f t="shared" si="77"/>
        <v>1.861209718</v>
      </c>
      <c r="W115" s="57">
        <f t="shared" si="78"/>
        <v>0.4179316145</v>
      </c>
    </row>
    <row r="116" ht="21.75" customHeight="1">
      <c r="A116" s="55" t="s">
        <v>20</v>
      </c>
      <c r="B116" s="57">
        <f>1/D114</f>
        <v>0.3333333333</v>
      </c>
      <c r="C116" s="57">
        <f>1/D115</f>
        <v>0.25</v>
      </c>
      <c r="D116" s="57">
        <f>1</f>
        <v>1</v>
      </c>
      <c r="E116" s="75">
        <f>1/2</f>
        <v>0.5</v>
      </c>
      <c r="F116" s="57">
        <f t="shared" si="71"/>
        <v>0.4518010018</v>
      </c>
      <c r="G116" s="57">
        <f t="shared" si="72"/>
        <v>0.09911214094</v>
      </c>
      <c r="H116" s="6"/>
      <c r="I116" s="55" t="s">
        <v>20</v>
      </c>
      <c r="J116" s="57">
        <f>1/L114</f>
        <v>0.3333333333</v>
      </c>
      <c r="K116" s="57">
        <f>1/L115</f>
        <v>0.3333333333</v>
      </c>
      <c r="L116" s="57">
        <f>1</f>
        <v>1</v>
      </c>
      <c r="M116" s="75">
        <f>1/2</f>
        <v>0.5</v>
      </c>
      <c r="N116" s="57">
        <f t="shared" si="74"/>
        <v>0.4854917717</v>
      </c>
      <c r="O116" s="57">
        <f t="shared" si="75"/>
        <v>0.1090163876</v>
      </c>
      <c r="P116" s="6"/>
      <c r="Q116" s="55" t="s">
        <v>20</v>
      </c>
      <c r="R116" s="57">
        <f>1/T114</f>
        <v>0.3333333333</v>
      </c>
      <c r="S116" s="57">
        <f>1/T115</f>
        <v>0.3333333333</v>
      </c>
      <c r="T116" s="57">
        <f>1</f>
        <v>1</v>
      </c>
      <c r="U116" s="75">
        <f>1/2</f>
        <v>0.5</v>
      </c>
      <c r="V116" s="57">
        <f t="shared" si="77"/>
        <v>0.4854917717</v>
      </c>
      <c r="W116" s="57">
        <f t="shared" si="78"/>
        <v>0.1090163876</v>
      </c>
    </row>
    <row r="117" ht="21.75" customHeight="1">
      <c r="A117" s="55" t="s">
        <v>22</v>
      </c>
      <c r="B117" s="57">
        <f>1/E114</f>
        <v>1</v>
      </c>
      <c r="C117" s="57">
        <f>1/E115</f>
        <v>0.5</v>
      </c>
      <c r="D117" s="57">
        <f>1/E116</f>
        <v>2</v>
      </c>
      <c r="E117" s="57">
        <f>1</f>
        <v>1</v>
      </c>
      <c r="F117" s="57">
        <f t="shared" si="71"/>
        <v>1</v>
      </c>
      <c r="G117" s="57">
        <f t="shared" si="72"/>
        <v>0.2193712288</v>
      </c>
      <c r="H117" s="6"/>
      <c r="I117" s="55" t="s">
        <v>22</v>
      </c>
      <c r="J117" s="57">
        <f>1/M114</f>
        <v>1</v>
      </c>
      <c r="K117" s="57">
        <f>1/M115</f>
        <v>0.5</v>
      </c>
      <c r="L117" s="57">
        <f>1/M116</f>
        <v>2</v>
      </c>
      <c r="M117" s="57">
        <f>1</f>
        <v>1</v>
      </c>
      <c r="N117" s="57">
        <f t="shared" si="74"/>
        <v>1</v>
      </c>
      <c r="O117" s="57">
        <f t="shared" si="75"/>
        <v>0.2245483732</v>
      </c>
      <c r="P117" s="6"/>
      <c r="Q117" s="55" t="s">
        <v>22</v>
      </c>
      <c r="R117" s="57">
        <f>1/U114</f>
        <v>1</v>
      </c>
      <c r="S117" s="57">
        <f>1/U115</f>
        <v>0.5</v>
      </c>
      <c r="T117" s="57">
        <f>1/U116</f>
        <v>2</v>
      </c>
      <c r="U117" s="57">
        <f>1</f>
        <v>1</v>
      </c>
      <c r="V117" s="57">
        <f t="shared" si="77"/>
        <v>1</v>
      </c>
      <c r="W117" s="57">
        <f t="shared" si="78"/>
        <v>0.2245483732</v>
      </c>
    </row>
    <row r="118" ht="21.75" customHeight="1">
      <c r="A118" s="67" t="s">
        <v>70</v>
      </c>
      <c r="B118" s="68">
        <f t="shared" ref="B118:G118" si="79">SUM(B114:B117)</f>
        <v>4.333333333</v>
      </c>
      <c r="C118" s="68">
        <f t="shared" si="79"/>
        <v>2.25</v>
      </c>
      <c r="D118" s="68">
        <f t="shared" si="79"/>
        <v>10</v>
      </c>
      <c r="E118" s="68">
        <f t="shared" si="79"/>
        <v>4.5</v>
      </c>
      <c r="F118" s="68">
        <f t="shared" si="79"/>
        <v>4.558482922</v>
      </c>
      <c r="G118" s="68">
        <f t="shared" si="79"/>
        <v>1</v>
      </c>
      <c r="H118" s="6"/>
      <c r="I118" s="67" t="s">
        <v>70</v>
      </c>
      <c r="J118" s="68">
        <f t="shared" ref="J118:O118" si="80">SUM(J114:J117)</f>
        <v>4.333333333</v>
      </c>
      <c r="K118" s="68">
        <f t="shared" si="80"/>
        <v>2.333333333</v>
      </c>
      <c r="L118" s="68">
        <f t="shared" si="80"/>
        <v>9</v>
      </c>
      <c r="M118" s="68">
        <f t="shared" si="80"/>
        <v>4.5</v>
      </c>
      <c r="N118" s="68">
        <f t="shared" si="80"/>
        <v>4.45338341</v>
      </c>
      <c r="O118" s="68">
        <f t="shared" si="80"/>
        <v>1</v>
      </c>
      <c r="P118" s="6"/>
      <c r="Q118" s="67" t="s">
        <v>70</v>
      </c>
      <c r="R118" s="68">
        <f t="shared" ref="R118:W118" si="81">SUM(R114:R117)</f>
        <v>4.333333333</v>
      </c>
      <c r="S118" s="68">
        <f t="shared" si="81"/>
        <v>2.333333333</v>
      </c>
      <c r="T118" s="68">
        <f t="shared" si="81"/>
        <v>9</v>
      </c>
      <c r="U118" s="68">
        <f t="shared" si="81"/>
        <v>4.5</v>
      </c>
      <c r="V118" s="68">
        <f t="shared" si="81"/>
        <v>4.45338341</v>
      </c>
      <c r="W118" s="68">
        <f t="shared" si="81"/>
        <v>1</v>
      </c>
    </row>
    <row r="119" ht="21.75" customHeight="1">
      <c r="A119" s="67" t="s">
        <v>71</v>
      </c>
      <c r="B119" s="68">
        <f>G114</f>
        <v>0.2427741726</v>
      </c>
      <c r="C119" s="68">
        <f>G115</f>
        <v>0.4387424576</v>
      </c>
      <c r="D119" s="68">
        <f>G116</f>
        <v>0.09911214094</v>
      </c>
      <c r="E119" s="68">
        <f>G117</f>
        <v>0.2193712288</v>
      </c>
      <c r="F119" s="68"/>
      <c r="G119" s="68"/>
      <c r="H119" s="6"/>
      <c r="I119" s="67" t="s">
        <v>71</v>
      </c>
      <c r="J119" s="68">
        <f>O114</f>
        <v>0.2485036248</v>
      </c>
      <c r="K119" s="68">
        <f>O115</f>
        <v>0.4179316145</v>
      </c>
      <c r="L119" s="68">
        <f>O116</f>
        <v>0.1090163876</v>
      </c>
      <c r="M119" s="68">
        <f>O117</f>
        <v>0.2245483732</v>
      </c>
      <c r="N119" s="68"/>
      <c r="O119" s="68"/>
      <c r="P119" s="6"/>
      <c r="Q119" s="67" t="s">
        <v>71</v>
      </c>
      <c r="R119" s="68">
        <f>W114</f>
        <v>0.2485036248</v>
      </c>
      <c r="S119" s="68">
        <f>W115</f>
        <v>0.4179316145</v>
      </c>
      <c r="T119" s="68">
        <f>W116</f>
        <v>0.1090163876</v>
      </c>
      <c r="U119" s="68">
        <f>W117</f>
        <v>0.2245483732</v>
      </c>
      <c r="V119" s="68"/>
      <c r="W119" s="68"/>
    </row>
    <row r="120" ht="21.75" customHeight="1">
      <c r="A120" s="55" t="s">
        <v>73</v>
      </c>
      <c r="B120" s="57">
        <f>SUMPRODUCT(B118:E118,B119:E119)</f>
        <v>4.017483883</v>
      </c>
      <c r="C120" s="57" t="s">
        <v>74</v>
      </c>
      <c r="D120" s="57">
        <f>(B120-4)/3</f>
        <v>0.005827961147</v>
      </c>
      <c r="E120" s="57" t="s">
        <v>75</v>
      </c>
      <c r="F120" s="57">
        <f>D120/0.9</f>
        <v>0.006475512385</v>
      </c>
      <c r="G120" s="57" t="str">
        <f>IF(F120&lt;=0.1,"OK","Проверить")</f>
        <v>OK</v>
      </c>
      <c r="H120" s="6"/>
      <c r="I120" s="55" t="s">
        <v>73</v>
      </c>
      <c r="J120" s="57">
        <f>SUMPRODUCT(J118:M118,J119:M119)</f>
        <v>4.043637975</v>
      </c>
      <c r="K120" s="57" t="s">
        <v>74</v>
      </c>
      <c r="L120" s="57">
        <f>(J120-4)/3</f>
        <v>0.01454599173</v>
      </c>
      <c r="M120" s="57" t="s">
        <v>75</v>
      </c>
      <c r="N120" s="57">
        <f>L120/0.9</f>
        <v>0.01616221304</v>
      </c>
      <c r="O120" s="57" t="str">
        <f>IF(N120&lt;=0.1,"OK","Проверить")</f>
        <v>OK</v>
      </c>
      <c r="P120" s="6"/>
      <c r="Q120" s="55" t="s">
        <v>73</v>
      </c>
      <c r="R120" s="57">
        <f>SUMPRODUCT(R118:U118,R119:U119)</f>
        <v>4.043637975</v>
      </c>
      <c r="S120" s="57" t="s">
        <v>74</v>
      </c>
      <c r="T120" s="57">
        <f>(R120-4)/3</f>
        <v>0.01454599173</v>
      </c>
      <c r="U120" s="57" t="s">
        <v>75</v>
      </c>
      <c r="V120" s="57">
        <f>T120/0.9</f>
        <v>0.01616221304</v>
      </c>
      <c r="W120" s="57" t="str">
        <f>IF(V120&lt;=0.1,"OK","Проверить")</f>
        <v>OK</v>
      </c>
    </row>
    <row r="121" ht="21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 ht="24.75" customHeight="1">
      <c r="A122" s="10" t="s">
        <v>108</v>
      </c>
      <c r="H122" s="6"/>
      <c r="I122" s="10" t="s">
        <v>108</v>
      </c>
      <c r="P122" s="6"/>
      <c r="Q122" s="10" t="s">
        <v>108</v>
      </c>
    </row>
    <row r="123" ht="24.0" customHeight="1">
      <c r="A123" s="53" t="s">
        <v>6</v>
      </c>
      <c r="B123" s="53" t="s">
        <v>14</v>
      </c>
      <c r="C123" s="53" t="s">
        <v>17</v>
      </c>
      <c r="D123" s="53" t="s">
        <v>20</v>
      </c>
      <c r="E123" s="53" t="s">
        <v>22</v>
      </c>
      <c r="F123" s="53" t="s">
        <v>62</v>
      </c>
      <c r="G123" s="53" t="s">
        <v>63</v>
      </c>
      <c r="H123" s="6"/>
      <c r="I123" s="53" t="s">
        <v>6</v>
      </c>
      <c r="J123" s="53" t="s">
        <v>14</v>
      </c>
      <c r="K123" s="53" t="s">
        <v>17</v>
      </c>
      <c r="L123" s="53" t="s">
        <v>20</v>
      </c>
      <c r="M123" s="53" t="s">
        <v>22</v>
      </c>
      <c r="N123" s="53" t="s">
        <v>62</v>
      </c>
      <c r="O123" s="53" t="s">
        <v>63</v>
      </c>
      <c r="P123" s="6"/>
      <c r="Q123" s="53" t="s">
        <v>6</v>
      </c>
      <c r="R123" s="53" t="s">
        <v>14</v>
      </c>
      <c r="S123" s="53" t="s">
        <v>17</v>
      </c>
      <c r="T123" s="53" t="s">
        <v>20</v>
      </c>
      <c r="U123" s="53" t="s">
        <v>22</v>
      </c>
      <c r="V123" s="53" t="s">
        <v>62</v>
      </c>
      <c r="W123" s="53" t="s">
        <v>63</v>
      </c>
    </row>
    <row r="124" ht="21.75" customHeight="1">
      <c r="A124" s="55" t="s">
        <v>14</v>
      </c>
      <c r="B124" s="57">
        <f>1</f>
        <v>1</v>
      </c>
      <c r="C124" s="75">
        <f>1/3</f>
        <v>0.3333333333</v>
      </c>
      <c r="D124" s="75">
        <f>1/2</f>
        <v>0.5</v>
      </c>
      <c r="E124" s="75">
        <f>1/3</f>
        <v>0.3333333333</v>
      </c>
      <c r="F124" s="57">
        <f t="shared" ref="F124:F127" si="83">POWER(PRODUCT(B124:E124),1/4)</f>
        <v>0.4854917717</v>
      </c>
      <c r="G124" s="57">
        <f t="shared" ref="G124:G127" si="84">F124/SUM($F$124:$F$127)</f>
        <v>0.1111817368</v>
      </c>
      <c r="H124" s="6"/>
      <c r="I124" s="55" t="s">
        <v>14</v>
      </c>
      <c r="J124" s="57">
        <f>1</f>
        <v>1</v>
      </c>
      <c r="K124" s="75">
        <f>1/3</f>
        <v>0.3333333333</v>
      </c>
      <c r="L124" s="75">
        <f>1/2</f>
        <v>0.5</v>
      </c>
      <c r="M124" s="75">
        <f>1/3</f>
        <v>0.3333333333</v>
      </c>
      <c r="N124" s="57">
        <f t="shared" ref="N124:N127" si="85">POWER(PRODUCT(J124:M124),1/4)</f>
        <v>0.4854917717</v>
      </c>
      <c r="O124" s="57">
        <f t="shared" ref="O124:O127" si="86">N124/SUM($N$124:$N$127)</f>
        <v>0.1111817368</v>
      </c>
      <c r="P124" s="6"/>
      <c r="Q124" s="55" t="s">
        <v>14</v>
      </c>
      <c r="R124" s="57">
        <f>1</f>
        <v>1</v>
      </c>
      <c r="S124" s="75">
        <f t="shared" ref="S124:T124" si="82">1/2</f>
        <v>0.5</v>
      </c>
      <c r="T124" s="75">
        <f t="shared" si="82"/>
        <v>0.5</v>
      </c>
      <c r="U124" s="75">
        <f>1/3</f>
        <v>0.3333333333</v>
      </c>
      <c r="V124" s="57">
        <f t="shared" ref="V124:V127" si="87">POWER(PRODUCT(R124:U124),1/4)</f>
        <v>0.5372849659</v>
      </c>
      <c r="W124" s="57">
        <f t="shared" ref="W124:W127" si="88">V124/SUM($V$124:$V$127)</f>
        <v>0.1258994336</v>
      </c>
    </row>
    <row r="125" ht="21.75" customHeight="1">
      <c r="A125" s="55" t="s">
        <v>17</v>
      </c>
      <c r="B125" s="57">
        <f>1/C124</f>
        <v>3</v>
      </c>
      <c r="C125" s="57">
        <f>1</f>
        <v>1</v>
      </c>
      <c r="D125" s="75">
        <f>2</f>
        <v>2</v>
      </c>
      <c r="E125" s="75">
        <f>1</f>
        <v>1</v>
      </c>
      <c r="F125" s="57">
        <f t="shared" si="83"/>
        <v>1.56508458</v>
      </c>
      <c r="G125" s="57">
        <f t="shared" si="84"/>
        <v>0.3584176541</v>
      </c>
      <c r="H125" s="6"/>
      <c r="I125" s="55" t="s">
        <v>17</v>
      </c>
      <c r="J125" s="57">
        <f>1/K124</f>
        <v>3</v>
      </c>
      <c r="K125" s="57">
        <f>1</f>
        <v>1</v>
      </c>
      <c r="L125" s="75">
        <f>2</f>
        <v>2</v>
      </c>
      <c r="M125" s="75">
        <f>1</f>
        <v>1</v>
      </c>
      <c r="N125" s="57">
        <f t="shared" si="85"/>
        <v>1.56508458</v>
      </c>
      <c r="O125" s="57">
        <f t="shared" si="86"/>
        <v>0.3584176541</v>
      </c>
      <c r="P125" s="6"/>
      <c r="Q125" s="55" t="s">
        <v>17</v>
      </c>
      <c r="R125" s="57">
        <f>1/S124</f>
        <v>2</v>
      </c>
      <c r="S125" s="57">
        <f>1</f>
        <v>1</v>
      </c>
      <c r="T125" s="75">
        <f>2</f>
        <v>2</v>
      </c>
      <c r="U125" s="75">
        <f>1</f>
        <v>1</v>
      </c>
      <c r="V125" s="57">
        <f t="shared" si="87"/>
        <v>1.414213562</v>
      </c>
      <c r="W125" s="57">
        <f t="shared" si="88"/>
        <v>0.3313859457</v>
      </c>
    </row>
    <row r="126" ht="21.75" customHeight="1">
      <c r="A126" s="55" t="s">
        <v>20</v>
      </c>
      <c r="B126" s="57">
        <f>1/D124</f>
        <v>2</v>
      </c>
      <c r="C126" s="57">
        <f>1/D125</f>
        <v>0.5</v>
      </c>
      <c r="D126" s="57">
        <f t="shared" ref="D126:E126" si="89">1</f>
        <v>1</v>
      </c>
      <c r="E126" s="75">
        <f t="shared" si="89"/>
        <v>1</v>
      </c>
      <c r="F126" s="57">
        <f t="shared" si="83"/>
        <v>1</v>
      </c>
      <c r="G126" s="57">
        <f t="shared" si="84"/>
        <v>0.2290084885</v>
      </c>
      <c r="H126" s="6"/>
      <c r="I126" s="55" t="s">
        <v>20</v>
      </c>
      <c r="J126" s="57">
        <f>1/L124</f>
        <v>2</v>
      </c>
      <c r="K126" s="57">
        <f>1/L125</f>
        <v>0.5</v>
      </c>
      <c r="L126" s="57">
        <f t="shared" ref="L126:M126" si="90">1</f>
        <v>1</v>
      </c>
      <c r="M126" s="75">
        <f t="shared" si="90"/>
        <v>1</v>
      </c>
      <c r="N126" s="57">
        <f t="shared" si="85"/>
        <v>1</v>
      </c>
      <c r="O126" s="57">
        <f t="shared" si="86"/>
        <v>0.2290084885</v>
      </c>
      <c r="P126" s="6"/>
      <c r="Q126" s="55" t="s">
        <v>20</v>
      </c>
      <c r="R126" s="57">
        <f>1/T124</f>
        <v>2</v>
      </c>
      <c r="S126" s="57">
        <f>1/T125</f>
        <v>0.5</v>
      </c>
      <c r="T126" s="57">
        <f t="shared" ref="T126:U126" si="91">1</f>
        <v>1</v>
      </c>
      <c r="U126" s="75">
        <f t="shared" si="91"/>
        <v>1</v>
      </c>
      <c r="V126" s="57">
        <f t="shared" si="87"/>
        <v>1</v>
      </c>
      <c r="W126" s="57">
        <f t="shared" si="88"/>
        <v>0.2343252494</v>
      </c>
    </row>
    <row r="127" ht="21.75" customHeight="1">
      <c r="A127" s="55" t="s">
        <v>22</v>
      </c>
      <c r="B127" s="57">
        <f>1/E124</f>
        <v>3</v>
      </c>
      <c r="C127" s="57">
        <f>1/E125</f>
        <v>1</v>
      </c>
      <c r="D127" s="57">
        <f>1/E126</f>
        <v>1</v>
      </c>
      <c r="E127" s="57">
        <f>1</f>
        <v>1</v>
      </c>
      <c r="F127" s="57">
        <f t="shared" si="83"/>
        <v>1.316074013</v>
      </c>
      <c r="G127" s="57">
        <f t="shared" si="84"/>
        <v>0.3013921205</v>
      </c>
      <c r="H127" s="6"/>
      <c r="I127" s="55" t="s">
        <v>22</v>
      </c>
      <c r="J127" s="57">
        <f>1/M124</f>
        <v>3</v>
      </c>
      <c r="K127" s="57">
        <f>1/M125</f>
        <v>1</v>
      </c>
      <c r="L127" s="57">
        <f>1/M126</f>
        <v>1</v>
      </c>
      <c r="M127" s="57">
        <f>1</f>
        <v>1</v>
      </c>
      <c r="N127" s="57">
        <f t="shared" si="85"/>
        <v>1.316074013</v>
      </c>
      <c r="O127" s="57">
        <f t="shared" si="86"/>
        <v>0.3013921205</v>
      </c>
      <c r="P127" s="6"/>
      <c r="Q127" s="55" t="s">
        <v>22</v>
      </c>
      <c r="R127" s="57">
        <f>1/U124</f>
        <v>3</v>
      </c>
      <c r="S127" s="57">
        <f>1/U125</f>
        <v>1</v>
      </c>
      <c r="T127" s="57">
        <f>1/U126</f>
        <v>1</v>
      </c>
      <c r="U127" s="57">
        <f>1</f>
        <v>1</v>
      </c>
      <c r="V127" s="57">
        <f t="shared" si="87"/>
        <v>1.316074013</v>
      </c>
      <c r="W127" s="57">
        <f t="shared" si="88"/>
        <v>0.3083893713</v>
      </c>
    </row>
    <row r="128" ht="21.75" customHeight="1">
      <c r="A128" s="67" t="s">
        <v>70</v>
      </c>
      <c r="B128" s="68">
        <f t="shared" ref="B128:G128" si="92">SUM(B124:B127)</f>
        <v>9</v>
      </c>
      <c r="C128" s="68">
        <f t="shared" si="92"/>
        <v>2.833333333</v>
      </c>
      <c r="D128" s="68">
        <f t="shared" si="92"/>
        <v>4.5</v>
      </c>
      <c r="E128" s="68">
        <f t="shared" si="92"/>
        <v>3.333333333</v>
      </c>
      <c r="F128" s="68">
        <f t="shared" si="92"/>
        <v>4.366650365</v>
      </c>
      <c r="G128" s="68">
        <f t="shared" si="92"/>
        <v>1</v>
      </c>
      <c r="H128" s="6"/>
      <c r="I128" s="67" t="s">
        <v>70</v>
      </c>
      <c r="J128" s="68">
        <f t="shared" ref="J128:O128" si="93">SUM(J124:J127)</f>
        <v>9</v>
      </c>
      <c r="K128" s="68">
        <f t="shared" si="93"/>
        <v>2.833333333</v>
      </c>
      <c r="L128" s="68">
        <f t="shared" si="93"/>
        <v>4.5</v>
      </c>
      <c r="M128" s="68">
        <f t="shared" si="93"/>
        <v>3.333333333</v>
      </c>
      <c r="N128" s="68">
        <f t="shared" si="93"/>
        <v>4.366650365</v>
      </c>
      <c r="O128" s="68">
        <f t="shared" si="93"/>
        <v>1</v>
      </c>
      <c r="P128" s="6"/>
      <c r="Q128" s="67" t="s">
        <v>70</v>
      </c>
      <c r="R128" s="68">
        <f t="shared" ref="R128:W128" si="94">SUM(R124:R127)</f>
        <v>8</v>
      </c>
      <c r="S128" s="68">
        <f t="shared" si="94"/>
        <v>3</v>
      </c>
      <c r="T128" s="68">
        <f t="shared" si="94"/>
        <v>4.5</v>
      </c>
      <c r="U128" s="68">
        <f t="shared" si="94"/>
        <v>3.333333333</v>
      </c>
      <c r="V128" s="68">
        <f t="shared" si="94"/>
        <v>4.267572541</v>
      </c>
      <c r="W128" s="68">
        <f t="shared" si="94"/>
        <v>1</v>
      </c>
    </row>
    <row r="129" ht="21.75" customHeight="1">
      <c r="A129" s="67" t="s">
        <v>71</v>
      </c>
      <c r="B129" s="68">
        <f>G124</f>
        <v>0.1111817368</v>
      </c>
      <c r="C129" s="68">
        <f>G125</f>
        <v>0.3584176541</v>
      </c>
      <c r="D129" s="68">
        <f>G126</f>
        <v>0.2290084885</v>
      </c>
      <c r="E129" s="68">
        <f>G127</f>
        <v>0.3013921205</v>
      </c>
      <c r="F129" s="68"/>
      <c r="G129" s="68"/>
      <c r="H129" s="6"/>
      <c r="I129" s="67" t="s">
        <v>71</v>
      </c>
      <c r="J129" s="68">
        <f>O124</f>
        <v>0.1111817368</v>
      </c>
      <c r="K129" s="68">
        <f>O125</f>
        <v>0.3584176541</v>
      </c>
      <c r="L129" s="68">
        <f>O126</f>
        <v>0.2290084885</v>
      </c>
      <c r="M129" s="68">
        <f>O127</f>
        <v>0.3013921205</v>
      </c>
      <c r="N129" s="68"/>
      <c r="O129" s="68"/>
      <c r="P129" s="6"/>
      <c r="Q129" s="67" t="s">
        <v>71</v>
      </c>
      <c r="R129" s="68">
        <f>W124</f>
        <v>0.1258994336</v>
      </c>
      <c r="S129" s="68">
        <f>W125</f>
        <v>0.3313859457</v>
      </c>
      <c r="T129" s="68">
        <f>W126</f>
        <v>0.2343252494</v>
      </c>
      <c r="U129" s="68">
        <f>W127</f>
        <v>0.3083893713</v>
      </c>
      <c r="V129" s="68"/>
      <c r="W129" s="68"/>
    </row>
    <row r="130" ht="21.75" customHeight="1">
      <c r="A130" s="55" t="s">
        <v>73</v>
      </c>
      <c r="B130" s="57">
        <f>SUMPRODUCT(B128:E128,B129:E129)</f>
        <v>4.051330918</v>
      </c>
      <c r="C130" s="57" t="s">
        <v>74</v>
      </c>
      <c r="D130" s="57">
        <f>(B130-4)/3</f>
        <v>0.0171103061</v>
      </c>
      <c r="E130" s="57" t="s">
        <v>75</v>
      </c>
      <c r="F130" s="57">
        <f>D130/0.9</f>
        <v>0.01901145122</v>
      </c>
      <c r="G130" s="57" t="str">
        <f>IF(F130&lt;=0.1,"OK","Проверить")</f>
        <v>OK</v>
      </c>
      <c r="H130" s="6"/>
      <c r="I130" s="55" t="s">
        <v>73</v>
      </c>
      <c r="J130" s="57">
        <f>SUMPRODUCT(J128:M128,J129:M129)</f>
        <v>4.051330918</v>
      </c>
      <c r="K130" s="57" t="s">
        <v>74</v>
      </c>
      <c r="L130" s="57">
        <f>(J130-4)/3</f>
        <v>0.0171103061</v>
      </c>
      <c r="M130" s="57" t="s">
        <v>75</v>
      </c>
      <c r="N130" s="57">
        <f>L130/0.9</f>
        <v>0.01901145122</v>
      </c>
      <c r="O130" s="57" t="str">
        <f>IF(N130&lt;=0.1,"OK","Проверить")</f>
        <v>OK</v>
      </c>
      <c r="P130" s="6"/>
      <c r="Q130" s="55" t="s">
        <v>73</v>
      </c>
      <c r="R130" s="57">
        <f>SUMPRODUCT(R128:U128,R129:U129)</f>
        <v>4.083781499</v>
      </c>
      <c r="S130" s="57" t="s">
        <v>74</v>
      </c>
      <c r="T130" s="57">
        <f>(R130-4)/3</f>
        <v>0.02792716644</v>
      </c>
      <c r="U130" s="57" t="s">
        <v>75</v>
      </c>
      <c r="V130" s="57">
        <f>T130/0.9</f>
        <v>0.03103018493</v>
      </c>
      <c r="W130" s="57" t="str">
        <f>IF(V130&lt;=0.1,"OK","Проверить")</f>
        <v>OK</v>
      </c>
    </row>
    <row r="131" ht="21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</row>
    <row r="132" ht="21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</row>
    <row r="133" ht="21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A1:G1"/>
    <mergeCell ref="A2:G2"/>
    <mergeCell ref="A4:G4"/>
    <mergeCell ref="B5:E5"/>
    <mergeCell ref="B6:E6"/>
    <mergeCell ref="B7:E7"/>
    <mergeCell ref="B8:E8"/>
    <mergeCell ref="B9:E9"/>
    <mergeCell ref="A11:G11"/>
    <mergeCell ref="B12:E12"/>
    <mergeCell ref="B13:E13"/>
    <mergeCell ref="B14:E14"/>
    <mergeCell ref="B15:E15"/>
    <mergeCell ref="B16:E16"/>
    <mergeCell ref="A81:G81"/>
    <mergeCell ref="I81:O81"/>
    <mergeCell ref="Q81:W81"/>
    <mergeCell ref="I82:O82"/>
    <mergeCell ref="Q82:W82"/>
    <mergeCell ref="A82:G82"/>
    <mergeCell ref="A92:G92"/>
    <mergeCell ref="I92:O92"/>
    <mergeCell ref="Q92:W92"/>
    <mergeCell ref="I102:O102"/>
    <mergeCell ref="Q102:W102"/>
    <mergeCell ref="A102:G102"/>
    <mergeCell ref="A112:G112"/>
    <mergeCell ref="I112:O112"/>
    <mergeCell ref="Q112:W112"/>
    <mergeCell ref="A122:G122"/>
    <mergeCell ref="I122:O122"/>
    <mergeCell ref="Q122:W122"/>
    <mergeCell ref="A18:G18"/>
    <mergeCell ref="A28:G28"/>
    <mergeCell ref="A38:G38"/>
    <mergeCell ref="A48:G48"/>
    <mergeCell ref="A58:G58"/>
    <mergeCell ref="A68:G68"/>
    <mergeCell ref="A79:G7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19.5"/>
    <col customWidth="1" min="6" max="6" width="13.25"/>
    <col customWidth="1" min="7" max="7" width="16.38"/>
    <col customWidth="1" min="8" max="8" width="18.88"/>
    <col customWidth="1" min="9" max="9" width="13.88"/>
  </cols>
  <sheetData>
    <row r="1">
      <c r="A1" s="11" t="s">
        <v>8</v>
      </c>
      <c r="E1" s="16"/>
      <c r="F1" s="16"/>
      <c r="G1" s="16"/>
      <c r="H1" s="16"/>
      <c r="I1" s="16"/>
    </row>
    <row r="2">
      <c r="A2" s="16"/>
      <c r="B2" s="16"/>
      <c r="C2" s="16"/>
      <c r="D2" s="16"/>
      <c r="E2" s="16"/>
      <c r="F2" s="16"/>
      <c r="G2" s="16"/>
      <c r="H2" s="16"/>
      <c r="I2" s="16"/>
    </row>
    <row r="3">
      <c r="A3" s="23" t="s">
        <v>16</v>
      </c>
      <c r="H3" s="16"/>
      <c r="I3" s="16"/>
    </row>
    <row r="4">
      <c r="A4" s="27" t="s">
        <v>6</v>
      </c>
      <c r="B4" s="30" t="s">
        <v>9</v>
      </c>
      <c r="C4" s="13"/>
      <c r="D4" s="13"/>
      <c r="E4" s="17"/>
      <c r="F4" s="31" t="s">
        <v>23</v>
      </c>
      <c r="G4" s="31" t="s">
        <v>25</v>
      </c>
      <c r="H4" s="32" t="s">
        <v>26</v>
      </c>
      <c r="I4" s="32" t="s">
        <v>27</v>
      </c>
    </row>
    <row r="5">
      <c r="A5" s="33" t="s">
        <v>14</v>
      </c>
      <c r="B5" s="38" t="str">
        <f>'Концепции и оценки'!B5</f>
        <v>Система управления заявками на обслуживание</v>
      </c>
      <c r="C5" s="13"/>
      <c r="D5" s="13"/>
      <c r="E5" s="17"/>
      <c r="F5" s="47">
        <f>Topsis!L45</f>
        <v>0.4508138534</v>
      </c>
      <c r="G5" s="33">
        <f>Topsis!M45</f>
        <v>2</v>
      </c>
      <c r="H5" s="49">
        <f>'МАИ'!F71</f>
        <v>0.3035496402</v>
      </c>
      <c r="I5" s="50">
        <f>'МАИ'!G71</f>
        <v>2</v>
      </c>
    </row>
    <row r="6">
      <c r="A6" s="33" t="s">
        <v>17</v>
      </c>
      <c r="B6" s="38" t="str">
        <f>'Концепции и оценки'!B6</f>
        <v>Фитнес-приложение с геймификацией</v>
      </c>
      <c r="C6" s="13"/>
      <c r="D6" s="13"/>
      <c r="E6" s="17"/>
      <c r="F6" s="47">
        <f>Topsis!L46</f>
        <v>0.4785350935</v>
      </c>
      <c r="G6" s="33">
        <f>Topsis!M46</f>
        <v>1</v>
      </c>
      <c r="H6" s="49">
        <f>'МАИ'!F72</f>
        <v>0.318672967</v>
      </c>
      <c r="I6" s="50">
        <f>'МАИ'!G72</f>
        <v>1</v>
      </c>
    </row>
    <row r="7">
      <c r="A7" s="33" t="s">
        <v>20</v>
      </c>
      <c r="B7" s="38" t="str">
        <f>'Концепции и оценки'!B7</f>
        <v>Сервис совместного выбора и просмотра фильмов</v>
      </c>
      <c r="C7" s="13"/>
      <c r="D7" s="13"/>
      <c r="E7" s="17"/>
      <c r="F7" s="47">
        <f>Topsis!L47</f>
        <v>0.3811454258</v>
      </c>
      <c r="G7" s="33">
        <f>Topsis!M47</f>
        <v>4</v>
      </c>
      <c r="H7" s="49">
        <f>'МАИ'!F73</f>
        <v>0.1254634115</v>
      </c>
      <c r="I7" s="50">
        <f>'МАИ'!G73</f>
        <v>4</v>
      </c>
    </row>
    <row r="8">
      <c r="A8" s="33" t="s">
        <v>22</v>
      </c>
      <c r="B8" s="38" t="str">
        <f>'Концепции и оценки'!B8</f>
        <v>Сервис персонализированных погодных рекомендаций</v>
      </c>
      <c r="C8" s="13"/>
      <c r="D8" s="13"/>
      <c r="E8" s="17"/>
      <c r="F8" s="47">
        <f>Topsis!L48</f>
        <v>0.443180807</v>
      </c>
      <c r="G8" s="33">
        <f>Topsis!M48</f>
        <v>3</v>
      </c>
      <c r="H8" s="49">
        <f>'МАИ'!F74</f>
        <v>0.2523139813</v>
      </c>
      <c r="I8" s="50">
        <f>'МАИ'!G74</f>
        <v>3</v>
      </c>
    </row>
    <row r="9">
      <c r="A9" s="16"/>
      <c r="B9" s="16"/>
      <c r="C9" s="16"/>
      <c r="D9" s="16"/>
      <c r="E9" s="16"/>
      <c r="F9" s="16"/>
      <c r="G9" s="16"/>
      <c r="H9" s="16"/>
      <c r="I9" s="16"/>
    </row>
    <row r="10">
      <c r="A10" s="16"/>
      <c r="B10" s="16"/>
      <c r="C10" s="16"/>
      <c r="D10" s="16"/>
      <c r="E10" s="16"/>
      <c r="F10" s="16"/>
      <c r="G10" s="16"/>
      <c r="H10" s="16"/>
      <c r="I10" s="16"/>
    </row>
    <row r="11">
      <c r="A11" s="66" t="s">
        <v>69</v>
      </c>
      <c r="B11" s="13"/>
      <c r="C11" s="17"/>
      <c r="D11" s="69" t="str">
        <f t="array" ref="D11">INDEX($B$5:$B$8,MATCH(1,$G$5:$G$8,0))</f>
        <v>Фитнес-приложение с геймификацией</v>
      </c>
      <c r="E11" s="13"/>
      <c r="F11" s="17"/>
      <c r="G11" s="16"/>
      <c r="H11" s="16"/>
      <c r="I11" s="16"/>
    </row>
    <row r="12">
      <c r="A12" s="66" t="s">
        <v>72</v>
      </c>
      <c r="B12" s="13"/>
      <c r="C12" s="17"/>
      <c r="D12" s="69" t="str">
        <f t="array" ref="D12">INDEX($B$5:$B$8,MATCH(1,$I$5:$I$8,0))</f>
        <v>Фитнес-приложение с геймификацией</v>
      </c>
      <c r="E12" s="13"/>
      <c r="F12" s="17"/>
      <c r="G12" s="16"/>
      <c r="H12" s="16"/>
      <c r="I12" s="16"/>
    </row>
  </sheetData>
  <mergeCells count="11">
    <mergeCell ref="A11:C11"/>
    <mergeCell ref="A12:C12"/>
    <mergeCell ref="D11:F11"/>
    <mergeCell ref="D12:F12"/>
    <mergeCell ref="A1:D1"/>
    <mergeCell ref="A3:G3"/>
    <mergeCell ref="B4:E4"/>
    <mergeCell ref="B5:E5"/>
    <mergeCell ref="B6:E6"/>
    <mergeCell ref="B7:E7"/>
    <mergeCell ref="B8:E8"/>
  </mergeCells>
  <drawing r:id="rId1"/>
</worksheet>
</file>